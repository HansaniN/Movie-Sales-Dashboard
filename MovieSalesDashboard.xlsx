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04F592B9-FDC7-48DC-94B2-AFCD0DAC7C07}" xr6:coauthVersionLast="47" xr6:coauthVersionMax="47" xr10:uidLastSave="{00000000-0000-0000-0000-000000000000}"/>
  <bookViews>
    <workbookView showHorizontalScroll="0" showVerticalScroll="0" xWindow="-120" yWindow="-120" windowWidth="20730" windowHeight="11040" xr2:uid="{BAD933FD-3DAB-436E-B0C6-8BD739AA5275}"/>
  </bookViews>
  <sheets>
    <sheet name="Dashboard" sheetId="3" r:id="rId1"/>
    <sheet name="Pivot Sheet" sheetId="2" r:id="rId2"/>
    <sheet name="HollywoodsMostProfitableStories" sheetId="1" r:id="rId3"/>
  </sheets>
  <definedNames>
    <definedName name="Slicer_Genre">#N/A</definedName>
    <definedName name="Slicer_Lead_Studio">#N/A</definedName>
    <definedName name="Slicer_Rating_Level">#N/A</definedName>
    <definedName name="Slicer_Year">#N/A</definedName>
  </definedNames>
  <calcPr calcId="191029"/>
  <pivotCaches>
    <pivotCache cacheId="10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0" i="2" l="1"/>
  <c r="H3" i="2" a="1"/>
  <c r="H3" i="2"/>
  <c r="I50" i="2" a="1"/>
  <c r="I50" i="2"/>
  <c r="D52" i="2" a="1"/>
  <c r="D52" i="2"/>
  <c r="H6" i="2" a="1"/>
  <c r="H6" i="2"/>
  <c r="I49" i="2"/>
  <c r="D51" i="2"/>
  <c r="I18" i="1"/>
  <c r="J18" i="1" s="1"/>
  <c r="I9" i="1"/>
  <c r="J9" i="1" s="1"/>
  <c r="I70" i="1"/>
  <c r="J70" i="1" s="1"/>
  <c r="I22" i="1"/>
  <c r="J22" i="1" s="1"/>
  <c r="I69" i="1"/>
  <c r="J69" i="1" s="1"/>
  <c r="I21" i="1"/>
  <c r="J21" i="1" s="1"/>
  <c r="I20" i="1"/>
  <c r="J20" i="1" s="1"/>
  <c r="I24" i="1"/>
  <c r="J24" i="1" s="1"/>
  <c r="I2" i="1"/>
  <c r="J2" i="1" s="1"/>
  <c r="I49" i="1"/>
  <c r="J49" i="1" s="1"/>
  <c r="I48" i="1"/>
  <c r="J48" i="1" s="1"/>
  <c r="I17" i="1"/>
  <c r="J17" i="1" s="1"/>
  <c r="I64" i="1"/>
  <c r="J64" i="1" s="1"/>
  <c r="I43" i="1"/>
  <c r="J43" i="1" s="1"/>
  <c r="I12" i="1"/>
  <c r="J12" i="1" s="1"/>
  <c r="I3" i="1"/>
  <c r="J3" i="1" s="1"/>
  <c r="I63" i="1"/>
  <c r="J63" i="1" s="1"/>
  <c r="I37" i="1"/>
  <c r="J37" i="1" s="1"/>
  <c r="I73" i="1"/>
  <c r="J73" i="1" s="1"/>
  <c r="I54" i="1"/>
  <c r="J54" i="1" s="1"/>
  <c r="I65" i="1"/>
  <c r="J65" i="1" s="1"/>
  <c r="I13" i="1"/>
  <c r="J13" i="1" s="1"/>
  <c r="I59" i="1"/>
  <c r="J59" i="1" s="1"/>
  <c r="I38" i="1"/>
  <c r="J38" i="1" s="1"/>
  <c r="I52" i="1"/>
  <c r="J52" i="1" s="1"/>
  <c r="I41" i="1"/>
  <c r="J41" i="1" s="1"/>
  <c r="I53" i="1"/>
  <c r="J53" i="1" s="1"/>
  <c r="I50" i="1"/>
  <c r="J50" i="1" s="1"/>
  <c r="I36" i="1"/>
  <c r="J36" i="1" s="1"/>
  <c r="I7" i="1"/>
  <c r="J7" i="1" s="1"/>
  <c r="I25" i="1"/>
  <c r="J25" i="1" s="1"/>
  <c r="I8" i="1"/>
  <c r="J8" i="1" s="1"/>
  <c r="I71" i="1"/>
  <c r="J71" i="1" s="1"/>
  <c r="I51" i="1"/>
  <c r="J51" i="1" s="1"/>
  <c r="I28" i="1"/>
  <c r="J28" i="1" s="1"/>
  <c r="I68" i="1"/>
  <c r="J68" i="1" s="1"/>
  <c r="I40" i="1"/>
  <c r="J40" i="1" s="1"/>
  <c r="I30" i="1"/>
  <c r="J30" i="1" s="1"/>
  <c r="I31" i="1"/>
  <c r="J31" i="1" s="1"/>
  <c r="I45" i="1"/>
  <c r="J45" i="1" s="1"/>
  <c r="I27" i="1"/>
  <c r="J27" i="1" s="1"/>
  <c r="I74" i="1"/>
  <c r="J74" i="1" s="1"/>
  <c r="I47" i="1"/>
  <c r="J47" i="1" s="1"/>
  <c r="I19" i="1"/>
  <c r="J19" i="1" s="1"/>
  <c r="I61" i="1"/>
  <c r="J61" i="1" s="1"/>
  <c r="I60" i="1"/>
  <c r="J60" i="1" s="1"/>
  <c r="I29" i="1"/>
  <c r="J29" i="1" s="1"/>
  <c r="I11" i="1"/>
  <c r="J11" i="1" s="1"/>
  <c r="I35" i="1"/>
  <c r="J35" i="1" s="1"/>
  <c r="I42" i="1"/>
  <c r="J42" i="1" s="1"/>
  <c r="I58" i="1"/>
  <c r="J58" i="1" s="1"/>
  <c r="I62" i="1"/>
  <c r="J62" i="1" s="1"/>
  <c r="I44" i="1"/>
  <c r="J44" i="1" s="1"/>
  <c r="I55" i="1"/>
  <c r="J55" i="1" s="1"/>
  <c r="I32" i="1"/>
  <c r="J32" i="1" s="1"/>
  <c r="I46" i="1"/>
  <c r="J46" i="1" s="1"/>
  <c r="I56" i="1"/>
  <c r="J56" i="1" s="1"/>
  <c r="I10" i="1"/>
  <c r="J10" i="1" s="1"/>
  <c r="I39" i="1"/>
  <c r="J39" i="1" s="1"/>
  <c r="I4" i="1"/>
  <c r="J4" i="1" s="1"/>
  <c r="I16" i="1"/>
  <c r="J16" i="1" s="1"/>
  <c r="I6" i="1"/>
  <c r="J6" i="1" s="1"/>
  <c r="I14" i="1"/>
  <c r="J14" i="1" s="1"/>
  <c r="I26" i="1"/>
  <c r="J26" i="1" s="1"/>
  <c r="I23" i="1"/>
  <c r="J23" i="1" s="1"/>
  <c r="I72" i="1"/>
  <c r="J72" i="1" s="1"/>
  <c r="I5" i="1"/>
  <c r="J5" i="1" s="1"/>
  <c r="I34" i="1"/>
  <c r="J34" i="1" s="1"/>
  <c r="I33" i="1"/>
  <c r="J33" i="1" s="1"/>
  <c r="I15" i="1"/>
  <c r="J15" i="1" s="1"/>
  <c r="I75" i="1"/>
  <c r="J75" i="1" s="1"/>
  <c r="I66" i="1"/>
  <c r="J66" i="1" s="1"/>
  <c r="I67" i="1"/>
  <c r="J67" i="1" s="1"/>
  <c r="I57" i="1"/>
  <c r="J57"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<sst xmlns="http://schemas.openxmlformats.org/spreadsheetml/2006/main" count="460" uniqueCount="116">
  <si>
    <t>Film</t>
  </si>
  <si>
    <t>Genre</t>
  </si>
  <si>
    <t>Lead Studio</t>
  </si>
  <si>
    <t>Audience  score %</t>
  </si>
  <si>
    <t>Profitability</t>
  </si>
  <si>
    <t>Rotten Tomatoes %</t>
  </si>
  <si>
    <t>Year</t>
  </si>
  <si>
    <t>27 Dresses</t>
  </si>
  <si>
    <t>Comedy</t>
  </si>
  <si>
    <t>Fox</t>
  </si>
  <si>
    <t>(500) Days of Summer</t>
  </si>
  <si>
    <t>A Dangerous Method</t>
  </si>
  <si>
    <t>Drama</t>
  </si>
  <si>
    <t>Independent</t>
  </si>
  <si>
    <t>A Serious Man</t>
  </si>
  <si>
    <t>Universal</t>
  </si>
  <si>
    <t>Across the Universe</t>
  </si>
  <si>
    <t>Romance</t>
  </si>
  <si>
    <t>Beginners</t>
  </si>
  <si>
    <t>Dear John</t>
  </si>
  <si>
    <t>Sony</t>
  </si>
  <si>
    <t>Enchanted</t>
  </si>
  <si>
    <t>Disney</t>
  </si>
  <si>
    <t>Fireproof</t>
  </si>
  <si>
    <t>Four Christmases</t>
  </si>
  <si>
    <t>Warner Bros.</t>
  </si>
  <si>
    <t>Ghosts of Girlfriends Past</t>
  </si>
  <si>
    <t>Gnomeo and Juliet</t>
  </si>
  <si>
    <t>Animation</t>
  </si>
  <si>
    <t>Going the Distance</t>
  </si>
  <si>
    <t>Good Luck Chuck</t>
  </si>
  <si>
    <t>Lionsgate</t>
  </si>
  <si>
    <t>He's Just Not That Into You</t>
  </si>
  <si>
    <t>High School Musical 3: Senior Year</t>
  </si>
  <si>
    <t>I Love You Phillip Morris</t>
  </si>
  <si>
    <t>It's Complicated</t>
  </si>
  <si>
    <t>Jane Eyre</t>
  </si>
  <si>
    <t>Just Wright</t>
  </si>
  <si>
    <t>Killers</t>
  </si>
  <si>
    <t>Action</t>
  </si>
  <si>
    <t>Knocked Up</t>
  </si>
  <si>
    <t>Leap Year</t>
  </si>
  <si>
    <t>Letters to Juliet</t>
  </si>
  <si>
    <t>Summit</t>
  </si>
  <si>
    <t>License to Wed</t>
  </si>
  <si>
    <t>Life as We Know It</t>
  </si>
  <si>
    <t>Love &amp; Other Drugs</t>
  </si>
  <si>
    <t>Love Happens</t>
  </si>
  <si>
    <t>Made of Honor</t>
  </si>
  <si>
    <t>Mamma Mia!</t>
  </si>
  <si>
    <t>Marley and Me</t>
  </si>
  <si>
    <t>Midnight in Paris</t>
  </si>
  <si>
    <t>Miss Pettigrew Lives for a Day</t>
  </si>
  <si>
    <t>Monte Carlo</t>
  </si>
  <si>
    <t>20th Century Fox</t>
  </si>
  <si>
    <t>Music and Lyrics</t>
  </si>
  <si>
    <t>My Week with Marilyn</t>
  </si>
  <si>
    <t>The Weinstein Company</t>
  </si>
  <si>
    <t>New Year's Eve</t>
  </si>
  <si>
    <t>Nick and Norah's Infinite Playlist</t>
  </si>
  <si>
    <t>No Reservations</t>
  </si>
  <si>
    <t>Not Easily Broken</t>
  </si>
  <si>
    <t>One Day</t>
  </si>
  <si>
    <t>Our Family Wedding</t>
  </si>
  <si>
    <t>Over Her Dead Body</t>
  </si>
  <si>
    <t>New Line</t>
  </si>
  <si>
    <t>P.S. I Love You</t>
  </si>
  <si>
    <t>Penelope</t>
  </si>
  <si>
    <t>Rachel Getting Married</t>
  </si>
  <si>
    <t>Remember Me</t>
  </si>
  <si>
    <t>Sex and the City</t>
  </si>
  <si>
    <t>Sex and the City 2</t>
  </si>
  <si>
    <t>She's Out of My League</t>
  </si>
  <si>
    <t>Paramount</t>
  </si>
  <si>
    <t>Something Borrowed</t>
  </si>
  <si>
    <t>Tangled</t>
  </si>
  <si>
    <t>The Back-up Plan</t>
  </si>
  <si>
    <t>CBS</t>
  </si>
  <si>
    <t>The Curious Case of Benjamin Button</t>
  </si>
  <si>
    <t>Fantasy</t>
  </si>
  <si>
    <t>The Duchess</t>
  </si>
  <si>
    <t>The Heartbreak Kid</t>
  </si>
  <si>
    <t>The Invention of Lying</t>
  </si>
  <si>
    <t>The Proposal</t>
  </si>
  <si>
    <t>The Time Traveler's Wife</t>
  </si>
  <si>
    <t>The Twilight Saga: New Moon</t>
  </si>
  <si>
    <t>The Ugly Truth</t>
  </si>
  <si>
    <t>Twilight</t>
  </si>
  <si>
    <t>Twilight: Breaking Dawn</t>
  </si>
  <si>
    <t>Tyler Perry's Why Did I get Married</t>
  </si>
  <si>
    <t>Valentine's Day</t>
  </si>
  <si>
    <t>Waiting For Forever</t>
  </si>
  <si>
    <t>Waitress</t>
  </si>
  <si>
    <t>WALL-E</t>
  </si>
  <si>
    <t>Water For Elephants</t>
  </si>
  <si>
    <t>What Happens in Vegas</t>
  </si>
  <si>
    <t>When in Rome</t>
  </si>
  <si>
    <t>You Will Meet a Tall Dark Stranger</t>
  </si>
  <si>
    <t>Youth in Revolt</t>
  </si>
  <si>
    <t>Zack and Miri Make a Porno</t>
  </si>
  <si>
    <t>Combined Score</t>
  </si>
  <si>
    <t>Row Labels</t>
  </si>
  <si>
    <t>Grand Total</t>
  </si>
  <si>
    <t>Sum of Profitability</t>
  </si>
  <si>
    <t>Average of Profitability</t>
  </si>
  <si>
    <t>Total Movies</t>
  </si>
  <si>
    <t>Total Gross</t>
  </si>
  <si>
    <t>Rating Level</t>
  </si>
  <si>
    <t>Avg Profitability</t>
  </si>
  <si>
    <t>Genre vs Worldwide Gross</t>
  </si>
  <si>
    <t>Top Studio</t>
  </si>
  <si>
    <t>Top Genre</t>
  </si>
  <si>
    <t>Top Grossed Movie</t>
  </si>
  <si>
    <t>Top Profitable Movie</t>
  </si>
  <si>
    <t>Worldwide Gross($M)</t>
  </si>
  <si>
    <t>Sum of Worldwide Gross($M)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</si>
</sst>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409]* #,##0_ ;_-[$$-409]* \-#,##0\ ;_-[$$-409]* &quot;-&quot;??_ ;_-@_ "/>
    <numFmt numFmtId="169" formatCode="\$#,##0.00\ &quot;M&quot;"/>
    <numFmt numFmtId="175" formatCode="\$#,##0.00\ &quot;B&quot;"/>
  </numFmts>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18D8D"/>
        <bgColor indexed="64"/>
      </patternFill>
    </fill>
    <fill>
      <patternFill patternType="solid">
        <fgColor rgb="FFE5B3B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33" borderId="0" xfId="0" applyFill="1"/>
    <xf numFmtId="169" fontId="0" fillId="0" borderId="0" xfId="0" applyNumberFormat="1"/>
    <xf numFmtId="0" fontId="0" fillId="34" borderId="0" xfId="0" applyFill="1" applyAlignment="1">
      <alignment horizontal="center"/>
    </xf>
    <xf numFmtId="175"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49">
    <dxf>
      <numFmt numFmtId="2" formatCode="0.00"/>
    </dxf>
    <dxf>
      <numFmt numFmtId="164" formatCode="_-[$$-409]* #,##0_ ;_-[$$-409]* \-#,##0\ ;_-[$$-409]* &quot;-&quot;??_ ;_-@_ "/>
    </dxf>
    <dxf>
      <numFmt numFmtId="169" formatCode="\$#,##0.00\ &quot;M&quot;"/>
    </dxf>
    <dxf>
      <numFmt numFmtId="2" formatCode="0.00"/>
    </dxf>
    <dxf>
      <numFmt numFmtId="2" formatCode="0.00"/>
    </dxf>
    <dxf>
      <numFmt numFmtId="164" formatCode="_-[$$-409]* #,##0_ ;_-[$$-409]* \-#,##0\ ;_-[$$-409]* &quot;-&quot;??_ ;_-@_ "/>
    </dxf>
    <dxf>
      <numFmt numFmtId="164" formatCode="_-[$$-409]* #,##0_ ;_-[$$-409]* \-#,##0\ ;_-[$$-409]* &quot;-&quot;??_ ;_-@_ "/>
    </dxf>
    <dxf>
      <numFmt numFmtId="169" formatCode="\$#,##0.00\ &quot;M&quot;"/>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2" formatCode="0.00"/>
    </dxf>
    <dxf>
      <numFmt numFmtId="2" formatCode="0.00"/>
    </dxf>
    <dxf>
      <numFmt numFmtId="164" formatCode="_-[$$-409]* #,##0_ ;_-[$$-409]* \-#,##0\ ;_-[$$-409]* &quot;-&quot;??_ ;_-@_ "/>
    </dxf>
    <dxf>
      <numFmt numFmtId="164" formatCode="_-[$$-409]* #,##0_ ;_-[$$-409]* \-#,##0\ ;_-[$$-409]* &quot;-&quot;??_ ;_-@_ "/>
    </dxf>
    <dxf>
      <numFmt numFmtId="169" formatCode="\$#,##0.00\ &quot;M&quot;"/>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2" formatCode="0.00"/>
    </dxf>
    <dxf>
      <numFmt numFmtId="2" formatCode="0.00"/>
    </dxf>
    <dxf>
      <numFmt numFmtId="164" formatCode="_-[$$-409]* #,##0_ ;_-[$$-409]* \-#,##0\ ;_-[$$-409]* &quot;-&quot;??_ ;_-@_ "/>
    </dxf>
    <dxf>
      <numFmt numFmtId="164" formatCode="_-[$$-409]* #,##0_ ;_-[$$-409]* \-#,##0\ ;_-[$$-409]* &quot;-&quot;??_ ;_-@_ "/>
    </dxf>
    <dxf>
      <numFmt numFmtId="169" formatCode="\$#,##0.00\ &quot;M&quot;"/>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2" formatCode="0.00"/>
    </dxf>
    <dxf>
      <numFmt numFmtId="2" formatCode="0.00"/>
    </dxf>
    <dxf>
      <numFmt numFmtId="164" formatCode="_-[$$-409]* #,##0_ ;_-[$$-409]* \-#,##0\ ;_-[$$-409]* &quot;-&quot;??_ ;_-@_ "/>
    </dxf>
    <dxf>
      <numFmt numFmtId="164" formatCode="_-[$$-409]* #,##0_ ;_-[$$-409]* \-#,##0\ ;_-[$$-409]* &quot;-&quot;??_ ;_-@_ "/>
    </dxf>
    <dxf>
      <numFmt numFmtId="169" formatCode="\$#,##0.00\ &quot;M&quot;"/>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2" formatCode="0.00"/>
    </dxf>
    <dxf>
      <numFmt numFmtId="2" formatCode="0.00"/>
    </dxf>
    <dxf>
      <numFmt numFmtId="164" formatCode="_-[$$-409]* #,##0_ ;_-[$$-409]* \-#,##0\ ;_-[$$-409]* &quot;-&quot;??_ ;_-@_ "/>
    </dxf>
    <dxf>
      <numFmt numFmtId="164" formatCode="_-[$$-409]* #,##0_ ;_-[$$-409]* \-#,##0\ ;_-[$$-409]* &quot;-&quot;??_ ;_-@_ "/>
    </dxf>
    <dxf>
      <numFmt numFmtId="169" formatCode="\$#,##0.00\ &quot;M&quot;"/>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2" formatCode="0.00"/>
    </dxf>
    <dxf>
      <numFmt numFmtId="2" formatCode="0.00"/>
    </dxf>
    <dxf>
      <numFmt numFmtId="164" formatCode="_-[$$-409]* #,##0_ ;_-[$$-409]* \-#,##0\ ;_-[$$-409]* &quot;-&quot;??_ ;_-@_ "/>
    </dxf>
    <dxf>
      <numFmt numFmtId="164" formatCode="_-[$$-409]* #,##0_ ;_-[$$-409]* \-#,##0\ ;_-[$$-409]* &quot;-&quot;??_ ;_-@_ "/>
    </dxf>
    <dxf>
      <numFmt numFmtId="169" formatCode="\$#,##0.00\ &quot;M&quot;"/>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2" formatCode="0.00"/>
    </dxf>
    <dxf>
      <numFmt numFmtId="2" formatCode="0.00"/>
    </dxf>
    <dxf>
      <numFmt numFmtId="164" formatCode="_-[$$-409]* #,##0_ ;_-[$$-409]* \-#,##0\ ;_-[$$-409]* &quot;-&quot;??_ ;_-@_ "/>
    </dxf>
    <dxf>
      <numFmt numFmtId="164" formatCode="_-[$$-409]* #,##0_ ;_-[$$-409]* \-#,##0\ ;_-[$$-409]* &quot;-&quot;??_ ;_-@_ "/>
    </dxf>
    <dxf>
      <numFmt numFmtId="169" formatCode="\$#,##0.00\ &quot;M&quot;"/>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2" formatCode="0.00"/>
    </dxf>
    <dxf>
      <numFmt numFmtId="2" formatCode="0.00"/>
    </dxf>
    <dxf>
      <numFmt numFmtId="164" formatCode="_-[$$-409]* #,##0_ ;_-[$$-409]* \-#,##0\ ;_-[$$-409]* &quot;-&quot;??_ ;_-@_ "/>
    </dxf>
    <dxf>
      <numFmt numFmtId="164" formatCode="_-[$$-409]* #,##0_ ;_-[$$-409]* \-#,##0\ ;_-[$$-409]* &quot;-&quot;??_ ;_-@_ "/>
    </dxf>
    <dxf>
      <numFmt numFmtId="169" formatCode="\$#,##0.00\ &quot;M&quot;"/>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2" formatCode="0.00"/>
    </dxf>
    <dxf>
      <numFmt numFmtId="2" formatCode="0.00"/>
    </dxf>
    <dxf>
      <numFmt numFmtId="164" formatCode="_-[$$-409]* #,##0_ ;_-[$$-409]* \-#,##0\ ;_-[$$-409]* &quot;-&quot;??_ ;_-@_ "/>
    </dxf>
    <dxf>
      <numFmt numFmtId="164" formatCode="_-[$$-409]* #,##0_ ;_-[$$-409]* \-#,##0\ ;_-[$$-409]* &quot;-&quot;??_ ;_-@_ "/>
    </dxf>
    <dxf>
      <numFmt numFmtId="169" formatCode="\$#,##0.00\ &quot;M&quot;"/>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164" formatCode="_-[$$-409]* #,##0_ ;_-[$$-409]* \-#,##0\ ;_-[$$-409]* &quot;-&quot;??_ ;_-@_ "/>
    </dxf>
    <dxf>
      <numFmt numFmtId="164" formatCode="_-[$$-409]* #,##0_ ;_-[$$-409]* \-#,##0\ ;_-[$$-409]* &quot;-&quot;??_ ;_-@_ "/>
    </dxf>
    <dxf>
      <numFmt numFmtId="169" formatCode="\$#,##0.00\ &quot;M&quot;"/>
    </dxf>
    <dxf>
      <numFmt numFmtId="164" formatCode="_-[$$-409]* #,##0_ ;_-[$$-409]* \-#,##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9" formatCode="\$#,##0.00\ &quot;M&quot;"/>
    </dxf>
    <dxf>
      <numFmt numFmtId="2" formatCode="0.00"/>
    </dxf>
    <dxf>
      <numFmt numFmtId="2" formatCode="0.00"/>
    </dxf>
    <dxf>
      <numFmt numFmtId="166" formatCode="_-[$$-409]* #,##0.0_ ;_-[$$-409]* \-#,##0.0\ ;_-[$$-409]* &quot;-&quot;??_ ;_-@_ "/>
    </dxf>
    <dxf>
      <numFmt numFmtId="164" formatCode="_-[$$-409]* #,##0_ ;_-[$$-409]* \-#,##0\ ;_-[$$-409]* &quot;-&quot;??_ ;_-@_ "/>
    </dxf>
    <dxf>
      <numFmt numFmtId="169" formatCode="\$#,##0.00\ &quot;M&quot;"/>
    </dxf>
    <dxf>
      <numFmt numFmtId="2" formatCode="0.00"/>
    </dxf>
    <dxf>
      <numFmt numFmtId="164" formatCode="_-[$$-409]* #,##0_ ;_-[$$-409]* \-#,##0\ ;_-[$$-409]* &quot;-&quot;??_ ;_-@_ "/>
    </dxf>
    <dxf>
      <numFmt numFmtId="169" formatCode="\$#,##0.00\ &quot;M&quot;"/>
    </dxf>
    <dxf>
      <numFmt numFmtId="164" formatCode="_-[$$-409]* #,##0_ ;_-[$$-409]* \-#,##0\ ;_-[$$-409]* &quot;-&quot;??_ ;_-@_ "/>
    </dxf>
    <dxf>
      <numFmt numFmtId="164" formatCode="_-[$$-409]* #,##0_ ;_-[$$-409]* \-#,##0\ ;_-[$$-409]* &quot;-&quot;??_ ;_-@_ "/>
    </dxf>
    <dxf>
      <numFmt numFmtId="169" formatCode="\$#,##0.00\ &quot;M&quot;"/>
    </dxf>
    <dxf>
      <numFmt numFmtId="164" formatCode="_-[$$-409]* #,##0_ ;_-[$$-409]* \-#,##0\ ;_-[$$-409]* &quot;-&quot;??_ ;_-@_ "/>
    </dxf>
    <dxf>
      <numFmt numFmtId="169" formatCode="\$#,##0.00\ &quot;M&quot;"/>
    </dxf>
    <dxf>
      <numFmt numFmtId="166" formatCode="_-[$$-409]* #,##0.0_ ;_-[$$-409]* \-#,##0.0\ ;_-[$$-409]* &quot;-&quot;??_ ;_-@_ "/>
    </dxf>
    <dxf>
      <numFmt numFmtId="166" formatCode="_-[$$-409]* #,##0.0_ ;_-[$$-409]* \-#,##0.0\ ;_-[$$-409]* &quot;-&quot;??_ ;_-@_ "/>
    </dxf>
    <dxf>
      <numFmt numFmtId="164" formatCode="_-[$$-409]* #,##0_ ;_-[$$-409]* \-#,##0\ ;_-[$$-409]* &quot;-&quot;??_ ;_-@_ "/>
    </dxf>
    <dxf>
      <numFmt numFmtId="169" formatCode="\$#,##0.00\ &quot;M&quot;"/>
    </dxf>
    <dxf>
      <numFmt numFmtId="164" formatCode="_-[$$-409]* #,##0_ ;_-[$$-409]* \-#,##0\ ;_-[$$-409]* &quot;-&quot;??_ ;_-@_ "/>
    </dxf>
    <dxf>
      <numFmt numFmtId="164" formatCode="_-[$$-409]* #,##0_ ;_-[$$-409]* \-#,##0\ ;_-[$$-409]* &quot;-&quot;??_ ;_-@_ "/>
    </dxf>
    <dxf>
      <numFmt numFmtId="169" formatCode="\$#,##0.00\ &quot;M&quot;"/>
    </dxf>
    <dxf>
      <numFmt numFmtId="164" formatCode="_-[$$-409]* #,##0_ ;_-[$$-409]* \-#,##0\ ;_-[$$-409]* &quot;-&quot;??_ ;_-@_ "/>
    </dxf>
    <dxf>
      <numFmt numFmtId="164" formatCode="_-[$$-409]* #,##0_ ;_-[$$-409]* \-#,##0\ ;_-[$$-409]* &quot;-&quot;??_ ;_-@_ "/>
    </dxf>
    <dxf>
      <numFmt numFmtId="164" formatCode="_-[$$-409]* #,##0_ ;_-[$$-409]* \-#,##0\ ;_-[$$-409]* &quot;-&quot;??_ ;_-@_ "/>
    </dxf>
    <dxf>
      <numFmt numFmtId="169" formatCode="\$#,##0.00\ &quot;M&quot;"/>
    </dxf>
    <dxf>
      <numFmt numFmtId="164" formatCode="_-[$$-409]* #,##0_ ;_-[$$-409]* \-#,##0\ ;_-[$$-409]* &quot;-&quot;??_ ;_-@_ "/>
    </dxf>
    <dxf>
      <font>
        <color rgb="FF9C0006"/>
      </font>
      <fill>
        <patternFill>
          <bgColor rgb="FFFFC7CE"/>
        </patternFill>
      </fill>
    </dxf>
    <dxf>
      <numFmt numFmtId="164" formatCode="_-[$$-409]* #,##0_ ;_-[$$-409]* \-#,##0\ ;_-[$$-409]* &quot;-&quot;??_ ;_-@_ "/>
    </dxf>
    <dxf>
      <numFmt numFmtId="164" formatCode="_-[$$-409]* #,##0_ ;_-[$$-409]* \-#,##0\ ;_-[$$-409]* &quot;-&quot;??_ ;_-@_ "/>
    </dxf>
    <dxf>
      <numFmt numFmtId="169" formatCode="\$#,##0.00\ &quot;M&quot;"/>
    </dxf>
    <dxf>
      <numFmt numFmtId="164" formatCode="_-[$$-409]* #,##0_ ;_-[$$-409]* \-#,##0\ ;_-[$$-409]* &quot;-&quot;??_ ;_-@_ "/>
    </dxf>
    <dxf>
      <numFmt numFmtId="164" formatCode="_-[$$-409]* #,##0_ ;_-[$$-409]* \-#,##0\ ;_-[$$-409]* &quot;-&quot;??_ ;_-@_ "/>
    </dxf>
    <dxf>
      <numFmt numFmtId="169" formatCode="\$#,##0.00\ &quot;M&quot;"/>
    </dxf>
    <dxf>
      <numFmt numFmtId="164" formatCode="_-[$$-409]* #,##0_ ;_-[$$-409]* \-#,##0\ ;_-[$$-409]* &quot;-&quot;??_ ;_-@_ "/>
    </dxf>
    <dxf>
      <numFmt numFmtId="164" formatCode="_-[$$-409]* #,##0_ ;_-[$$-409]* \-#,##0\ ;_-[$$-409]* &quot;-&quot;??_ ;_-@_ "/>
    </dxf>
    <dxf>
      <numFmt numFmtId="169" formatCode="\$#,##0.00\ &quot;M&quot;"/>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2" formatCode="0.00"/>
    </dxf>
    <dxf>
      <numFmt numFmtId="164" formatCode="_-[$$-409]* #,##0_ ;_-[$$-409]* \-#,##0\ ;_-[$$-409]* &quot;-&quot;??_ ;_-@_ "/>
    </dxf>
    <dxf>
      <numFmt numFmtId="164" formatCode="_-[$$-409]* #,##0_ ;_-[$$-409]* \-#,##0\ ;_-[$$-409]* &quot;-&quot;??_ ;_-@_ "/>
    </dxf>
    <dxf>
      <numFmt numFmtId="2" formatCode="0.00"/>
    </dxf>
    <dxf>
      <numFmt numFmtId="2" formatCode="0.00"/>
    </dxf>
    <dxf>
      <numFmt numFmtId="166" formatCode="_-[$$-409]* #,##0.0_ ;_-[$$-409]* \-#,##0.0\ ;_-[$$-409]* &quot;-&quot;??_ ;_-@_ "/>
    </dxf>
    <dxf>
      <numFmt numFmtId="164" formatCode="_-[$$-409]* #,##0_ ;_-[$$-409]* \-#,##0\ ;_-[$$-409]* &quot;-&quot;??_ ;_-@_ "/>
    </dxf>
    <dxf>
      <numFmt numFmtId="168" formatCode="#,##0,,\ &quot;M&quot;"/>
    </dxf>
    <dxf>
      <numFmt numFmtId="2" formatCode="0.0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2" formatCode="0.00"/>
    </dxf>
    <dxf>
      <numFmt numFmtId="164" formatCode="_-[$$-409]* #,##0_ ;_-[$$-409]* \-#,##0\ ;_-[$$-409]* &quot;-&quot;??_ ;_-@_ "/>
    </dxf>
    <dxf>
      <numFmt numFmtId="164" formatCode="_-[$$-409]* #,##0_ ;_-[$$-409]* \-#,##0\ ;_-[$$-409]* &quot;-&quot;??_ ;_-@_ "/>
    </dxf>
    <dxf>
      <numFmt numFmtId="2" formatCode="0.00"/>
    </dxf>
    <dxf>
      <numFmt numFmtId="2" formatCode="0.00"/>
    </dxf>
    <dxf>
      <numFmt numFmtId="166" formatCode="_-[$$-409]* #,##0.0_ ;_-[$$-409]* \-#,##0.0\ ;_-[$$-409]* &quot;-&quot;??_ ;_-@_ "/>
    </dxf>
    <dxf>
      <numFmt numFmtId="164" formatCode="_-[$$-409]* #,##0_ ;_-[$$-409]* \-#,##0\ ;_-[$$-409]* &quot;-&quot;??_ ;_-@_ "/>
    </dxf>
    <dxf>
      <numFmt numFmtId="2" formatCode="0.00"/>
    </dxf>
    <dxf>
      <numFmt numFmtId="164" formatCode="_-[$$-409]* #,##0_ ;_-[$$-409]* \-#,##0\ ;_-[$$-409]* &quot;-&quot;??_ ;_-@_ "/>
    </dxf>
    <dxf>
      <numFmt numFmtId="164" formatCode="_-[$$-409]* #,##0_ ;_-[$$-409]* \-#,##0\ ;_-[$$-409]* &quot;-&quot;??_ ;_-@_ "/>
    </dxf>
    <dxf>
      <numFmt numFmtId="164" formatCode="_-[$$-409]* #,##0_ ;_-[$$-409]* \-#,##0\ ;_-[$$-409]* &quot;-&quot;??_ ;_-@_ "/>
    </dxf>
    <dxf>
      <numFmt numFmtId="167" formatCode="#,##0,,\ &quot;M&quot;\ "/>
    </dxf>
    <dxf>
      <numFmt numFmtId="166" formatCode="_-[$$-409]* #,##0.0_ ;_-[$$-409]* \-#,##0.0\ ;_-[$$-409]* &quot;-&quot;??_ ;_-@_ "/>
    </dxf>
    <dxf>
      <numFmt numFmtId="164" formatCode="_-[$$-409]* #,##0_ ;_-[$$-409]* \-#,##0\ ;_-[$$-409]* &quot;-&quot;??_ ;_-@_ "/>
    </dxf>
    <dxf>
      <numFmt numFmtId="167" formatCode="#,##0,,\ &quot;M&quot;\ "/>
    </dxf>
    <dxf>
      <numFmt numFmtId="166" formatCode="_-[$$-409]* #,##0.0_ ;_-[$$-409]* \-#,##0.0\ ;_-[$$-409]* &quot;-&quot;??_ ;_-@_ "/>
    </dxf>
    <dxf>
      <numFmt numFmtId="164" formatCode="_-[$$-409]* #,##0_ ;_-[$$-409]* \-#,##0\ ;_-[$$-409]* &quot;-&quot;??_ ;_-@_ "/>
    </dxf>
    <dxf>
      <numFmt numFmtId="2" formatCode="0.00"/>
    </dxf>
    <dxf>
      <numFmt numFmtId="164" formatCode="_-[$$-409]* #,##0_ ;_-[$$-409]* \-#,##0\ ;_-[$$-409]* &quot;-&quot;??_ ;_-@_ "/>
    </dxf>
    <dxf>
      <numFmt numFmtId="2" formatCode="0.00"/>
    </dxf>
    <dxf>
      <numFmt numFmtId="2" formatCode="0.00"/>
    </dxf>
    <dxf>
      <numFmt numFmtId="164" formatCode="_-[$$-409]* #,##0_ ;_-[$$-409]* \-#,##0\ ;_-[$$-409]* &quot;-&quot;??_ ;_-@_ "/>
    </dxf>
    <dxf>
      <numFmt numFmtId="164" formatCode="_-[$$-409]* #,##0_ ;_-[$$-409]* \-#,##0\ ;_-[$$-409]* &quot;-&quot;??_ ;_-@_ "/>
    </dxf>
    <dxf>
      <numFmt numFmtId="166" formatCode="_-[$$-409]* #,##0.0_ ;_-[$$-409]* \-#,##0.0\ ;_-[$$-409]* &quot;-&quot;??_ ;_-@_ "/>
    </dxf>
    <dxf>
      <numFmt numFmtId="164" formatCode="_-[$$-409]* #,##0_ ;_-[$$-409]* \-#,##0\ ;_-[$$-409]* &quot;-&quot;??_ ;_-@_ "/>
    </dxf>
    <dxf>
      <numFmt numFmtId="2" formatCode="0.00"/>
    </dxf>
    <dxf>
      <numFmt numFmtId="164" formatCode="_-[$$-409]* #,##0_ ;_-[$$-409]* \-#,##0\ ;_-[$$-409]* &quot;-&quot;??_ ;_-@_ "/>
    </dxf>
    <dxf>
      <numFmt numFmtId="164" formatCode="_-[$$-409]* #,##0_ ;_-[$$-409]* \-#,##0\ ;_-[$$-409]* &quot;-&quot;??_ ;_-@_ "/>
    </dxf>
    <dxf>
      <numFmt numFmtId="2" formatCode="0.00"/>
    </dxf>
    <dxf>
      <numFmt numFmtId="164" formatCode="_-[$$-409]* #,##0_ ;_-[$$-409]* \-#,##0\ ;_-[$$-409]* &quot;-&quot;??_ ;_-@_ "/>
    </dxf>
    <dxf>
      <numFmt numFmtId="2" formatCode="0.00"/>
    </dxf>
    <dxf>
      <numFmt numFmtId="2" formatCode="0.00"/>
    </dxf>
    <dxf>
      <numFmt numFmtId="164" formatCode="_-[$$-409]* #,##0_ ;_-[$$-409]* \-#,##0\ ;_-[$$-409]* &quot;-&quot;??_ ;_-@_ "/>
    </dxf>
    <dxf>
      <numFmt numFmtId="164" formatCode="_-[$$-409]* #,##0_ ;_-[$$-409]* \-#,##0\ ;_-[$$-409]* &quot;-&quot;??_ ;_-@_ "/>
    </dxf>
    <dxf>
      <numFmt numFmtId="166" formatCode="_-[$$-409]* #,##0.0_ ;_-[$$-409]* \-#,##0.0\ ;_-[$$-409]* &quot;-&quot;??_ ;_-@_ "/>
    </dxf>
    <dxf>
      <numFmt numFmtId="164" formatCode="_-[$$-409]* #,##0_ ;_-[$$-409]* \-#,##0\ ;_-[$$-409]* &quot;-&quot;??_ ;_-@_ "/>
    </dxf>
    <dxf>
      <numFmt numFmtId="2" formatCode="0.00"/>
    </dxf>
    <dxf>
      <numFmt numFmtId="164" formatCode="_-[$$-409]* #,##0_ ;_-[$$-409]* \-#,##0\ ;_-[$$-409]* &quot;-&quot;??_ ;_-@_ "/>
    </dxf>
    <dxf>
      <numFmt numFmtId="164" formatCode="_-[$$-409]* #,##0_ ;_-[$$-409]* \-#,##0\ ;_-[$$-409]* &quot;-&quot;??_ ;_-@_ "/>
    </dxf>
    <dxf>
      <numFmt numFmtId="0" formatCode="General"/>
    </dxf>
    <dxf>
      <numFmt numFmtId="0" formatCode="General"/>
    </dxf>
  </dxfs>
  <tableStyles count="0" defaultTableStyle="TableStyleMedium2" defaultPivotStyle="PivotStyleLight16"/>
  <colors>
    <mruColors>
      <color rgb="FFE5B3B3"/>
      <color rgb="FFC18D8D"/>
      <color rgb="FFD1D1D1"/>
      <color rgb="FFCA8C95"/>
      <color rgb="FFB87E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[MovieSalesDashboard.xlsx]Pivot Sheet!PivotTable2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Movies per Worldwide Gross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Sheet'!$H$26</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38100" dist="25400" dir="5400000" rotWithShape="0">
                <a:srgbClr val="000000">
                  <a:alpha val="45000"/>
                </a:srgbClr>
              </a:outerShdw>
            </a:effectLst>
          </c:spPr>
          <c:invertIfNegative val="0"/>
          <c:cat>
            <c:strRef>
              <c:f>'Pivot Sheet'!$G$27:$G$37</c:f>
              <c:strCache>
                <c:ptCount val="10"/>
                <c:pt idx="0">
                  <c:v>Sex and the City 2</c:v>
                </c:pt>
                <c:pt idx="1">
                  <c:v>The Proposal</c:v>
                </c:pt>
                <c:pt idx="2">
                  <c:v>Enchanted</c:v>
                </c:pt>
                <c:pt idx="3">
                  <c:v>Tangled</c:v>
                </c:pt>
                <c:pt idx="4">
                  <c:v>Twilight</c:v>
                </c:pt>
                <c:pt idx="5">
                  <c:v>Sex and the City</c:v>
                </c:pt>
                <c:pt idx="6">
                  <c:v>WALL-E</c:v>
                </c:pt>
                <c:pt idx="7">
                  <c:v>Mamma Mia!</c:v>
                </c:pt>
                <c:pt idx="8">
                  <c:v>Twilight: Breaking Dawn</c:v>
                </c:pt>
                <c:pt idx="9">
                  <c:v>The Twilight Saga: New Moon</c:v>
                </c:pt>
              </c:strCache>
            </c:strRef>
          </c:cat>
          <c:val>
            <c:numRef>
              <c:f>'Pivot Sheet'!$H$27:$H$37</c:f>
              <c:numCache>
                <c:formatCode>\$#,##0.00\ "M"</c:formatCode>
                <c:ptCount val="10"/>
                <c:pt idx="0">
                  <c:v>288.35000000000002</c:v>
                </c:pt>
                <c:pt idx="1">
                  <c:v>314.7</c:v>
                </c:pt>
                <c:pt idx="2">
                  <c:v>340.48765200000003</c:v>
                </c:pt>
                <c:pt idx="3">
                  <c:v>355.08</c:v>
                </c:pt>
                <c:pt idx="4">
                  <c:v>376.661</c:v>
                </c:pt>
                <c:pt idx="5">
                  <c:v>415.25325800000002</c:v>
                </c:pt>
                <c:pt idx="6">
                  <c:v>521.28343199999995</c:v>
                </c:pt>
                <c:pt idx="7">
                  <c:v>609.47395500000005</c:v>
                </c:pt>
                <c:pt idx="8">
                  <c:v>702.17</c:v>
                </c:pt>
                <c:pt idx="9">
                  <c:v>709.82</c:v>
                </c:pt>
              </c:numCache>
            </c:numRef>
          </c:val>
          <c:extLst>
            <c:ext xmlns:c16="http://schemas.microsoft.com/office/drawing/2014/chart" uri="{C3380CC4-5D6E-409C-BE32-E72D297353CC}">
              <c16:uniqueId val="{00000002-8C2E-47F6-AB71-E1A4A4E7BCC4}"/>
            </c:ext>
          </c:extLst>
        </c:ser>
        <c:dLbls>
          <c:showLegendKey val="0"/>
          <c:showVal val="0"/>
          <c:showCatName val="0"/>
          <c:showSerName val="0"/>
          <c:showPercent val="0"/>
          <c:showBubbleSize val="0"/>
        </c:dLbls>
        <c:gapWidth val="100"/>
        <c:axId val="1553652703"/>
        <c:axId val="1553673343"/>
      </c:barChart>
      <c:catAx>
        <c:axId val="155365270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Movie TItle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3673343"/>
        <c:crosses val="autoZero"/>
        <c:auto val="1"/>
        <c:lblAlgn val="ctr"/>
        <c:lblOffset val="100"/>
        <c:noMultiLvlLbl val="0"/>
      </c:catAx>
      <c:valAx>
        <c:axId val="1553673343"/>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Worldwide</a:t>
                </a:r>
                <a:r>
                  <a:rPr lang="en-US" baseline="0"/>
                  <a:t> Gross($M)</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240000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155365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[MovieSalesDashboard.xlsx]Pivot Sheet!PivotTable10</c:name>
    <c:fmtId val="5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Most Profitable Movies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Sheet'!$B$35</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Sheet'!$A$36:$A$46</c:f>
              <c:strCache>
                <c:ptCount val="10"/>
                <c:pt idx="0">
                  <c:v>Sex and the City</c:v>
                </c:pt>
                <c:pt idx="1">
                  <c:v>The Proposal</c:v>
                </c:pt>
                <c:pt idx="2">
                  <c:v>(500) Days of Summer</c:v>
                </c:pt>
                <c:pt idx="3">
                  <c:v>Midnight in Paris</c:v>
                </c:pt>
                <c:pt idx="4">
                  <c:v>Mamma Mia!</c:v>
                </c:pt>
                <c:pt idx="5">
                  <c:v>Twilight</c:v>
                </c:pt>
                <c:pt idx="6">
                  <c:v>Waitress</c:v>
                </c:pt>
                <c:pt idx="7">
                  <c:v>The Twilight Saga: New Moon</c:v>
                </c:pt>
                <c:pt idx="8">
                  <c:v>High School Musical 3: Senior Year</c:v>
                </c:pt>
                <c:pt idx="9">
                  <c:v>Fireproof</c:v>
                </c:pt>
              </c:strCache>
            </c:strRef>
          </c:cat>
          <c:val>
            <c:numRef>
              <c:f>'Pivot Sheet'!$B$36:$B$46</c:f>
              <c:numCache>
                <c:formatCode>0.00</c:formatCode>
                <c:ptCount val="10"/>
                <c:pt idx="0">
                  <c:v>7.2217957909999999</c:v>
                </c:pt>
                <c:pt idx="1">
                  <c:v>7.8674999999999997</c:v>
                </c:pt>
                <c:pt idx="2">
                  <c:v>8.0960000000000001</c:v>
                </c:pt>
                <c:pt idx="3">
                  <c:v>8.7447058819999999</c:v>
                </c:pt>
                <c:pt idx="4">
                  <c:v>9.2344538640000007</c:v>
                </c:pt>
                <c:pt idx="5">
                  <c:v>10.18002703</c:v>
                </c:pt>
                <c:pt idx="6">
                  <c:v>11.089741500000001</c:v>
                </c:pt>
                <c:pt idx="7">
                  <c:v>14.196400000000001</c:v>
                </c:pt>
                <c:pt idx="8">
                  <c:v>22.91313646</c:v>
                </c:pt>
                <c:pt idx="9">
                  <c:v>66.933999999999997</c:v>
                </c:pt>
              </c:numCache>
            </c:numRef>
          </c:val>
          <c:extLst>
            <c:ext xmlns:c16="http://schemas.microsoft.com/office/drawing/2014/chart" uri="{C3380CC4-5D6E-409C-BE32-E72D297353CC}">
              <c16:uniqueId val="{00000000-9D00-4B7C-89AD-EEEBCB5F87F6}"/>
            </c:ext>
          </c:extLst>
        </c:ser>
        <c:dLbls>
          <c:dLblPos val="outEnd"/>
          <c:showLegendKey val="0"/>
          <c:showVal val="1"/>
          <c:showCatName val="0"/>
          <c:showSerName val="0"/>
          <c:showPercent val="0"/>
          <c:showBubbleSize val="0"/>
        </c:dLbls>
        <c:gapWidth val="115"/>
        <c:overlap val="-20"/>
        <c:axId val="1764500575"/>
        <c:axId val="1764501535"/>
      </c:barChart>
      <c:catAx>
        <c:axId val="176450057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Movie</a:t>
                </a:r>
                <a:r>
                  <a:rPr lang="en-US" b="1" baseline="0"/>
                  <a:t> Title</a:t>
                </a:r>
                <a:endParaRPr lang="en-US" b="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501535"/>
        <c:crosses val="autoZero"/>
        <c:auto val="1"/>
        <c:lblAlgn val="ctr"/>
        <c:lblOffset val="100"/>
        <c:noMultiLvlLbl val="0"/>
      </c:catAx>
      <c:valAx>
        <c:axId val="1764501535"/>
        <c:scaling>
          <c:orientation val="minMax"/>
          <c:max val="1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Profitability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50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[MovieSalesDashboard.xlsx]Pivot Sheet!PivotTable7</c:name>
    <c:fmtId val="3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Box Office trend over the  Years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Sheet'!$B$26</c:f>
              <c:strCache>
                <c:ptCount val="1"/>
                <c:pt idx="0">
                  <c:v>Total</c:v>
                </c:pt>
              </c:strCache>
            </c:strRef>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'Pivot Sheet'!$A$27:$A$32</c:f>
              <c:strCache>
                <c:ptCount val="5"/>
                <c:pt idx="0">
                  <c:v>2007</c:v>
                </c:pt>
                <c:pt idx="1">
                  <c:v>2008</c:v>
                </c:pt>
                <c:pt idx="2">
                  <c:v>2009</c:v>
                </c:pt>
                <c:pt idx="3">
                  <c:v>2010</c:v>
                </c:pt>
                <c:pt idx="4">
                  <c:v>2011</c:v>
                </c:pt>
              </c:strCache>
            </c:strRef>
          </c:cat>
          <c:val>
            <c:numRef>
              <c:f>'Pivot Sheet'!$B$27:$B$32</c:f>
              <c:numCache>
                <c:formatCode>\$#,##0.00\ "M"</c:formatCode>
                <c:ptCount val="5"/>
                <c:pt idx="0">
                  <c:v>1314.755404</c:v>
                </c:pt>
                <c:pt idx="1">
                  <c:v>3539.1701409999996</c:v>
                </c:pt>
                <c:pt idx="2">
                  <c:v>2007.3899999999999</c:v>
                </c:pt>
                <c:pt idx="3">
                  <c:v>1707.9989999999998</c:v>
                </c:pt>
                <c:pt idx="4">
                  <c:v>1520.7318950000001</c:v>
                </c:pt>
              </c:numCache>
            </c:numRef>
          </c:val>
          <c:smooth val="0"/>
          <c:extLst>
            <c:ext xmlns:c16="http://schemas.microsoft.com/office/drawing/2014/chart" uri="{C3380CC4-5D6E-409C-BE32-E72D297353CC}">
              <c16:uniqueId val="{00000005-0863-4697-9A5D-F24E4A1852AA}"/>
            </c:ext>
          </c:extLst>
        </c:ser>
        <c:dLbls>
          <c:showLegendKey val="0"/>
          <c:showVal val="0"/>
          <c:showCatName val="0"/>
          <c:showSerName val="0"/>
          <c:showPercent val="0"/>
          <c:showBubbleSize val="0"/>
        </c:dLbls>
        <c:marker val="1"/>
        <c:smooth val="0"/>
        <c:axId val="1764488095"/>
        <c:axId val="1764478975"/>
      </c:lineChart>
      <c:catAx>
        <c:axId val="17644880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478975"/>
        <c:crosses val="autoZero"/>
        <c:auto val="1"/>
        <c:lblAlgn val="ctr"/>
        <c:lblOffset val="100"/>
        <c:noMultiLvlLbl val="0"/>
      </c:catAx>
      <c:valAx>
        <c:axId val="1764478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Worldwide</a:t>
                </a:r>
                <a:r>
                  <a:rPr lang="en-US" b="1" baseline="0"/>
                  <a:t> Gross($M)</a:t>
                </a:r>
                <a:endParaRPr lang="en-US" b="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48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[MovieSalesDashboard.xlsx]Pivot Sheet!PivotTable1</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Genres per Worldwide Gross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Sheet'!$B$3</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'Pivot Sheet'!$A$4:$A$10</c:f>
              <c:strCache>
                <c:ptCount val="6"/>
                <c:pt idx="0">
                  <c:v>Action</c:v>
                </c:pt>
                <c:pt idx="1">
                  <c:v>Animation</c:v>
                </c:pt>
                <c:pt idx="2">
                  <c:v>Comedy</c:v>
                </c:pt>
                <c:pt idx="3">
                  <c:v>Drama</c:v>
                </c:pt>
                <c:pt idx="4">
                  <c:v>Fantasy</c:v>
                </c:pt>
                <c:pt idx="5">
                  <c:v>Romance</c:v>
                </c:pt>
              </c:strCache>
            </c:strRef>
          </c:cat>
          <c:val>
            <c:numRef>
              <c:f>'Pivot Sheet'!$B$4:$B$10</c:f>
              <c:numCache>
                <c:formatCode>\$#,##0.00\ "M"</c:formatCode>
                <c:ptCount val="6"/>
                <c:pt idx="0">
                  <c:v>93.4</c:v>
                </c:pt>
                <c:pt idx="1">
                  <c:v>1070.330432</c:v>
                </c:pt>
                <c:pt idx="2">
                  <c:v>5350.6056960000005</c:v>
                </c:pt>
                <c:pt idx="3">
                  <c:v>1287.1478729999999</c:v>
                </c:pt>
                <c:pt idx="4">
                  <c:v>285.43099999999998</c:v>
                </c:pt>
                <c:pt idx="5">
                  <c:v>2003.131439</c:v>
                </c:pt>
              </c:numCache>
            </c:numRef>
          </c:val>
          <c:extLst>
            <c:ext xmlns:c16="http://schemas.microsoft.com/office/drawing/2014/chart" uri="{C3380CC4-5D6E-409C-BE32-E72D297353CC}">
              <c16:uniqueId val="{00000005-5271-431A-8CE8-D0A6DB08BEA3}"/>
            </c:ext>
          </c:extLst>
        </c:ser>
        <c:dLbls>
          <c:showLegendKey val="0"/>
          <c:showVal val="0"/>
          <c:showCatName val="0"/>
          <c:showSerName val="0"/>
          <c:showPercent val="0"/>
          <c:showBubbleSize val="0"/>
        </c:dLbls>
        <c:gapWidth val="100"/>
        <c:overlap val="-24"/>
        <c:axId val="1764571135"/>
        <c:axId val="1764568735"/>
      </c:barChart>
      <c:catAx>
        <c:axId val="17645711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Genre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568735"/>
        <c:crosses val="autoZero"/>
        <c:auto val="1"/>
        <c:lblAlgn val="ctr"/>
        <c:lblOffset val="100"/>
        <c:noMultiLvlLbl val="0"/>
      </c:catAx>
      <c:valAx>
        <c:axId val="1764568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 Worldwide Gross($M)</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57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[MovieSalesDashboard.xlsx]Pivot Sheet!PivotTable14</c:name>
    <c:fmtId val="5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Profitability</a:t>
            </a:r>
            <a:r>
              <a:rPr lang="en-US" baseline="0"/>
              <a:t> over the Years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Sheet'!$E$26</c:f>
              <c:strCache>
                <c:ptCount val="1"/>
                <c:pt idx="0">
                  <c:v>Total</c:v>
                </c:pt>
              </c:strCache>
            </c:strRef>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'Pivot Sheet'!$D$27:$D$32</c:f>
              <c:strCache>
                <c:ptCount val="5"/>
                <c:pt idx="0">
                  <c:v>2007</c:v>
                </c:pt>
                <c:pt idx="1">
                  <c:v>2008</c:v>
                </c:pt>
                <c:pt idx="2">
                  <c:v>2009</c:v>
                </c:pt>
                <c:pt idx="3">
                  <c:v>2010</c:v>
                </c:pt>
                <c:pt idx="4">
                  <c:v>2011</c:v>
                </c:pt>
              </c:strCache>
            </c:strRef>
          </c:cat>
          <c:val>
            <c:numRef>
              <c:f>'Pivot Sheet'!$E$27:$E$32</c:f>
              <c:numCache>
                <c:formatCode>0.00</c:formatCode>
                <c:ptCount val="5"/>
                <c:pt idx="0">
                  <c:v>4.0585199486363637</c:v>
                </c:pt>
                <c:pt idx="1">
                  <c:v>8.136442234105262</c:v>
                </c:pt>
                <c:pt idx="2">
                  <c:v>5.0233118821666674</c:v>
                </c:pt>
                <c:pt idx="3">
                  <c:v>2.2275160208823532</c:v>
                </c:pt>
                <c:pt idx="4">
                  <c:v>3.2725548944166669</c:v>
                </c:pt>
              </c:numCache>
            </c:numRef>
          </c:val>
          <c:smooth val="0"/>
          <c:extLst>
            <c:ext xmlns:c16="http://schemas.microsoft.com/office/drawing/2014/chart" uri="{C3380CC4-5D6E-409C-BE32-E72D297353CC}">
              <c16:uniqueId val="{00000000-D0A3-4654-A1C6-5668BE229A59}"/>
            </c:ext>
          </c:extLst>
        </c:ser>
        <c:dLbls>
          <c:showLegendKey val="0"/>
          <c:showVal val="0"/>
          <c:showCatName val="0"/>
          <c:showSerName val="0"/>
          <c:showPercent val="0"/>
          <c:showBubbleSize val="0"/>
        </c:dLbls>
        <c:marker val="1"/>
        <c:smooth val="0"/>
        <c:axId val="1788975071"/>
        <c:axId val="1788975551"/>
      </c:lineChart>
      <c:catAx>
        <c:axId val="17889750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975551"/>
        <c:crosses val="autoZero"/>
        <c:auto val="1"/>
        <c:lblAlgn val="ctr"/>
        <c:lblOffset val="100"/>
        <c:noMultiLvlLbl val="0"/>
      </c:catAx>
      <c:valAx>
        <c:axId val="1788975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Average</a:t>
                </a:r>
                <a:r>
                  <a:rPr lang="en-US" b="1" baseline="0"/>
                  <a:t> Profitability</a:t>
                </a:r>
                <a:endParaRPr lang="en-US" b="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97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[MovieSalesDashboard.xlsx]Pivot Sheet!PivotTable16</c:name>
    <c:fmtId val="6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 Profitability by Genre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50000"/>
            </a:schemeClr>
          </a:solidFill>
          <a:ln>
            <a:noFill/>
          </a:ln>
          <a:effectLst>
            <a:outerShdw blurRad="317500" algn="ctr" rotWithShape="0">
              <a:prstClr val="black">
                <a:alpha val="25000"/>
              </a:prstClr>
            </a:outerShdw>
          </a:effectLst>
        </c:spPr>
      </c:pivotFmt>
      <c:pivotFmt>
        <c:idx val="10"/>
        <c:spPr>
          <a:solidFill>
            <a:schemeClr val="accent1">
              <a:shade val="70000"/>
            </a:schemeClr>
          </a:solidFill>
          <a:ln>
            <a:noFill/>
          </a:ln>
          <a:effectLst>
            <a:outerShdw blurRad="317500" algn="ctr" rotWithShape="0">
              <a:prstClr val="black">
                <a:alpha val="25000"/>
              </a:prstClr>
            </a:outerShdw>
          </a:effectLst>
        </c:spPr>
      </c:pivotFmt>
      <c:pivotFmt>
        <c:idx val="11"/>
        <c:spPr>
          <a:solidFill>
            <a:schemeClr val="accent1">
              <a:shade val="90000"/>
            </a:schemeClr>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tint val="70000"/>
            </a:schemeClr>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Sheet'!$E$35</c:f>
              <c:strCache>
                <c:ptCount val="1"/>
                <c:pt idx="0">
                  <c:v>Total</c:v>
                </c:pt>
              </c:strCache>
            </c:strRef>
          </c:tx>
          <c:dPt>
            <c:idx val="0"/>
            <c:bubble3D val="0"/>
            <c:spPr>
              <a:solidFill>
                <a:schemeClr val="accent1">
                  <a:shade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306-4D6D-BB59-4B558011F44E}"/>
              </c:ext>
            </c:extLst>
          </c:dPt>
          <c:dPt>
            <c:idx val="1"/>
            <c:bubble3D val="0"/>
            <c:spPr>
              <a:solidFill>
                <a:schemeClr val="accent1">
                  <a:shade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306-4D6D-BB59-4B558011F44E}"/>
              </c:ext>
            </c:extLst>
          </c:dPt>
          <c:dPt>
            <c:idx val="2"/>
            <c:bubble3D val="0"/>
            <c:spPr>
              <a:solidFill>
                <a:schemeClr val="accent1">
                  <a:shade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306-4D6D-BB59-4B558011F44E}"/>
              </c:ext>
            </c:extLst>
          </c:dPt>
          <c:dPt>
            <c:idx val="3"/>
            <c:bubble3D val="0"/>
            <c:spPr>
              <a:solidFill>
                <a:schemeClr val="accent1">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306-4D6D-BB59-4B558011F44E}"/>
              </c:ext>
            </c:extLst>
          </c:dPt>
          <c:dPt>
            <c:idx val="4"/>
            <c:bubble3D val="0"/>
            <c:spPr>
              <a:solidFill>
                <a:schemeClr val="accent1">
                  <a:tint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306-4D6D-BB59-4B558011F44E}"/>
              </c:ext>
            </c:extLst>
          </c:dPt>
          <c:dPt>
            <c:idx val="5"/>
            <c:bubble3D val="0"/>
            <c:spPr>
              <a:solidFill>
                <a:schemeClr val="accent1">
                  <a:tint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306-4D6D-BB59-4B558011F4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Sheet'!$D$36:$D$42</c:f>
              <c:strCache>
                <c:ptCount val="6"/>
                <c:pt idx="0">
                  <c:v>Action</c:v>
                </c:pt>
                <c:pt idx="1">
                  <c:v>Animation</c:v>
                </c:pt>
                <c:pt idx="2">
                  <c:v>Comedy</c:v>
                </c:pt>
                <c:pt idx="3">
                  <c:v>Drama</c:v>
                </c:pt>
                <c:pt idx="4">
                  <c:v>Fantasy</c:v>
                </c:pt>
                <c:pt idx="5">
                  <c:v>Romance</c:v>
                </c:pt>
              </c:strCache>
            </c:strRef>
          </c:cat>
          <c:val>
            <c:numRef>
              <c:f>'Pivot Sheet'!$E$36:$E$42</c:f>
              <c:numCache>
                <c:formatCode>0.00</c:formatCode>
                <c:ptCount val="6"/>
                <c:pt idx="0">
                  <c:v>1.245333333</c:v>
                </c:pt>
                <c:pt idx="1">
                  <c:v>3.2165611989999996</c:v>
                </c:pt>
                <c:pt idx="2">
                  <c:v>3.9354337590769228</c:v>
                </c:pt>
                <c:pt idx="3">
                  <c:v>8.4072184159230758</c:v>
                </c:pt>
                <c:pt idx="4">
                  <c:v>1.7839437499999999</c:v>
                </c:pt>
                <c:pt idx="5">
                  <c:v>4.3713984904285708</c:v>
                </c:pt>
              </c:numCache>
            </c:numRef>
          </c:val>
          <c:extLst>
            <c:ext xmlns:c16="http://schemas.microsoft.com/office/drawing/2014/chart" uri="{C3380CC4-5D6E-409C-BE32-E72D297353CC}">
              <c16:uniqueId val="{0000000C-7306-4D6D-BB59-4B558011F44E}"/>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23132</xdr:colOff>
      <xdr:row>0</xdr:row>
      <xdr:rowOff>95250</xdr:rowOff>
    </xdr:from>
    <xdr:to>
      <xdr:col>27</xdr:col>
      <xdr:colOff>4082</xdr:colOff>
      <xdr:row>3</xdr:row>
      <xdr:rowOff>176893</xdr:rowOff>
    </xdr:to>
    <xdr:sp macro="" textlink="">
      <xdr:nvSpPr>
        <xdr:cNvPr id="2" name="Rectangle: Rounded Corners 1">
          <a:extLst>
            <a:ext uri="{FF2B5EF4-FFF2-40B4-BE49-F238E27FC236}">
              <a16:creationId xmlns:a16="http://schemas.microsoft.com/office/drawing/2014/main" id="{6B01ECC9-023F-E4CB-BA03-385CDB797B91}"/>
            </a:ext>
          </a:extLst>
        </xdr:cNvPr>
        <xdr:cNvSpPr/>
      </xdr:nvSpPr>
      <xdr:spPr>
        <a:xfrm>
          <a:off x="2744561" y="95250"/>
          <a:ext cx="15629164" cy="693964"/>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effectLst>
                <a:outerShdw blurRad="50800" dist="38100" dir="2700000" algn="tl" rotWithShape="0">
                  <a:prstClr val="black">
                    <a:alpha val="40000"/>
                  </a:prstClr>
                </a:outerShdw>
              </a:effectLst>
              <a:latin typeface="Monotype Corsiva" panose="03010101010201010101" pitchFamily="66" charset="0"/>
              <a:cs typeface="DinaminaUniWeb" panose="02000400000000000000" pitchFamily="2" charset="0"/>
            </a:rPr>
            <a:t>Movie Sales Dashboard</a:t>
          </a:r>
        </a:p>
      </xdr:txBody>
    </xdr:sp>
    <xdr:clientData/>
  </xdr:twoCellAnchor>
  <xdr:twoCellAnchor>
    <xdr:from>
      <xdr:col>0</xdr:col>
      <xdr:colOff>28576</xdr:colOff>
      <xdr:row>0</xdr:row>
      <xdr:rowOff>68037</xdr:rowOff>
    </xdr:from>
    <xdr:to>
      <xdr:col>3</xdr:col>
      <xdr:colOff>639536</xdr:colOff>
      <xdr:row>44</xdr:row>
      <xdr:rowOff>40822</xdr:rowOff>
    </xdr:to>
    <xdr:sp macro="" textlink="">
      <xdr:nvSpPr>
        <xdr:cNvPr id="3" name="Rectangle: Rounded Corners 2">
          <a:extLst>
            <a:ext uri="{FF2B5EF4-FFF2-40B4-BE49-F238E27FC236}">
              <a16:creationId xmlns:a16="http://schemas.microsoft.com/office/drawing/2014/main" id="{08E3477F-5CBC-DE38-8AEA-61DD71B2F834}"/>
            </a:ext>
          </a:extLst>
        </xdr:cNvPr>
        <xdr:cNvSpPr/>
      </xdr:nvSpPr>
      <xdr:spPr>
        <a:xfrm>
          <a:off x="28576" y="68037"/>
          <a:ext cx="2652031" cy="8953499"/>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47626</xdr:colOff>
      <xdr:row>4</xdr:row>
      <xdr:rowOff>76200</xdr:rowOff>
    </xdr:from>
    <xdr:to>
      <xdr:col>7</xdr:col>
      <xdr:colOff>123825</xdr:colOff>
      <xdr:row>11</xdr:row>
      <xdr:rowOff>9525</xdr:rowOff>
    </xdr:to>
    <xdr:sp macro="" textlink="">
      <xdr:nvSpPr>
        <xdr:cNvPr id="4" name="Rectangle: Rounded Corners 3">
          <a:extLst>
            <a:ext uri="{FF2B5EF4-FFF2-40B4-BE49-F238E27FC236}">
              <a16:creationId xmlns:a16="http://schemas.microsoft.com/office/drawing/2014/main" id="{C611F1C3-2FE0-BF67-2C4C-B3D7CBDAF650}"/>
            </a:ext>
          </a:extLst>
        </xdr:cNvPr>
        <xdr:cNvSpPr/>
      </xdr:nvSpPr>
      <xdr:spPr>
        <a:xfrm>
          <a:off x="2769055" y="892629"/>
          <a:ext cx="2117270" cy="136207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Movies</a:t>
          </a:r>
        </a:p>
      </xdr:txBody>
    </xdr:sp>
    <xdr:clientData/>
  </xdr:twoCellAnchor>
  <xdr:twoCellAnchor>
    <xdr:from>
      <xdr:col>10</xdr:col>
      <xdr:colOff>468087</xdr:colOff>
      <xdr:row>4</xdr:row>
      <xdr:rowOff>89807</xdr:rowOff>
    </xdr:from>
    <xdr:to>
      <xdr:col>13</xdr:col>
      <xdr:colOff>544286</xdr:colOff>
      <xdr:row>11</xdr:row>
      <xdr:rowOff>23132</xdr:rowOff>
    </xdr:to>
    <xdr:sp macro="" textlink="">
      <xdr:nvSpPr>
        <xdr:cNvPr id="16" name="Rectangle: Rounded Corners 15">
          <a:extLst>
            <a:ext uri="{FF2B5EF4-FFF2-40B4-BE49-F238E27FC236}">
              <a16:creationId xmlns:a16="http://schemas.microsoft.com/office/drawing/2014/main" id="{7DF1EFE9-49E4-447A-9F5C-1616A4E221E0}"/>
            </a:ext>
          </a:extLst>
        </xdr:cNvPr>
        <xdr:cNvSpPr/>
      </xdr:nvSpPr>
      <xdr:spPr>
        <a:xfrm>
          <a:off x="7271658" y="906236"/>
          <a:ext cx="2117271" cy="136207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Average</a:t>
          </a:r>
          <a:r>
            <a:rPr lang="en-US" sz="1800" b="1" baseline="0"/>
            <a:t> Profitability</a:t>
          </a:r>
          <a:endParaRPr lang="en-US" sz="1800" b="1"/>
        </a:p>
      </xdr:txBody>
    </xdr:sp>
    <xdr:clientData/>
  </xdr:twoCellAnchor>
  <xdr:twoCellAnchor>
    <xdr:from>
      <xdr:col>13</xdr:col>
      <xdr:colOff>666751</xdr:colOff>
      <xdr:row>4</xdr:row>
      <xdr:rowOff>89807</xdr:rowOff>
    </xdr:from>
    <xdr:to>
      <xdr:col>17</xdr:col>
      <xdr:colOff>62593</xdr:colOff>
      <xdr:row>11</xdr:row>
      <xdr:rowOff>23132</xdr:rowOff>
    </xdr:to>
    <xdr:sp macro="" textlink="">
      <xdr:nvSpPr>
        <xdr:cNvPr id="17" name="Rectangle: Rounded Corners 16">
          <a:extLst>
            <a:ext uri="{FF2B5EF4-FFF2-40B4-BE49-F238E27FC236}">
              <a16:creationId xmlns:a16="http://schemas.microsoft.com/office/drawing/2014/main" id="{EE65352D-B4C9-4049-881A-92162C95A285}"/>
            </a:ext>
          </a:extLst>
        </xdr:cNvPr>
        <xdr:cNvSpPr/>
      </xdr:nvSpPr>
      <xdr:spPr>
        <a:xfrm>
          <a:off x="9511394" y="906236"/>
          <a:ext cx="2117270" cy="136207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Top Grossed Movie</a:t>
          </a:r>
        </a:p>
      </xdr:txBody>
    </xdr:sp>
    <xdr:clientData/>
  </xdr:twoCellAnchor>
  <xdr:twoCellAnchor>
    <xdr:from>
      <xdr:col>17</xdr:col>
      <xdr:colOff>197304</xdr:colOff>
      <xdr:row>4</xdr:row>
      <xdr:rowOff>76200</xdr:rowOff>
    </xdr:from>
    <xdr:to>
      <xdr:col>20</xdr:col>
      <xdr:colOff>273503</xdr:colOff>
      <xdr:row>11</xdr:row>
      <xdr:rowOff>9525</xdr:rowOff>
    </xdr:to>
    <xdr:sp macro="" textlink="">
      <xdr:nvSpPr>
        <xdr:cNvPr id="18" name="Rectangle: Rounded Corners 17">
          <a:extLst>
            <a:ext uri="{FF2B5EF4-FFF2-40B4-BE49-F238E27FC236}">
              <a16:creationId xmlns:a16="http://schemas.microsoft.com/office/drawing/2014/main" id="{BB6753E9-EB73-4DB3-BF51-BCBCC99F4193}"/>
            </a:ext>
          </a:extLst>
        </xdr:cNvPr>
        <xdr:cNvSpPr/>
      </xdr:nvSpPr>
      <xdr:spPr>
        <a:xfrm>
          <a:off x="11763375" y="892629"/>
          <a:ext cx="2117271" cy="136207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Top</a:t>
          </a:r>
          <a:r>
            <a:rPr lang="en-US" sz="1800" b="1" baseline="0"/>
            <a:t> Profitable Movie</a:t>
          </a:r>
          <a:endParaRPr lang="en-US" sz="1800" b="1"/>
        </a:p>
      </xdr:txBody>
    </xdr:sp>
    <xdr:clientData/>
  </xdr:twoCellAnchor>
  <xdr:twoCellAnchor>
    <xdr:from>
      <xdr:col>7</xdr:col>
      <xdr:colOff>228601</xdr:colOff>
      <xdr:row>4</xdr:row>
      <xdr:rowOff>76200</xdr:rowOff>
    </xdr:from>
    <xdr:to>
      <xdr:col>10</xdr:col>
      <xdr:colOff>304800</xdr:colOff>
      <xdr:row>11</xdr:row>
      <xdr:rowOff>9525</xdr:rowOff>
    </xdr:to>
    <xdr:sp macro="" textlink="">
      <xdr:nvSpPr>
        <xdr:cNvPr id="19" name="Rectangle: Rounded Corners 18">
          <a:extLst>
            <a:ext uri="{FF2B5EF4-FFF2-40B4-BE49-F238E27FC236}">
              <a16:creationId xmlns:a16="http://schemas.microsoft.com/office/drawing/2014/main" id="{0603314E-C35A-4E37-879D-DE901AA105BF}"/>
            </a:ext>
          </a:extLst>
        </xdr:cNvPr>
        <xdr:cNvSpPr/>
      </xdr:nvSpPr>
      <xdr:spPr>
        <a:xfrm>
          <a:off x="3630387" y="892629"/>
          <a:ext cx="2117270" cy="136207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Worldwide Gross</a:t>
          </a:r>
          <a:endParaRPr lang="en-US" sz="1600" b="1"/>
        </a:p>
      </xdr:txBody>
    </xdr:sp>
    <xdr:clientData/>
  </xdr:twoCellAnchor>
  <xdr:twoCellAnchor>
    <xdr:from>
      <xdr:col>4</xdr:col>
      <xdr:colOff>47625</xdr:colOff>
      <xdr:row>12</xdr:row>
      <xdr:rowOff>115660</xdr:rowOff>
    </xdr:from>
    <xdr:to>
      <xdr:col>11</xdr:col>
      <xdr:colOff>653142</xdr:colOff>
      <xdr:row>27</xdr:row>
      <xdr:rowOff>125185</xdr:rowOff>
    </xdr:to>
    <xdr:sp macro="" textlink="">
      <xdr:nvSpPr>
        <xdr:cNvPr id="20" name="Rectangle: Rounded Corners 19">
          <a:extLst>
            <a:ext uri="{FF2B5EF4-FFF2-40B4-BE49-F238E27FC236}">
              <a16:creationId xmlns:a16="http://schemas.microsoft.com/office/drawing/2014/main" id="{A87C526A-4C5F-458F-A903-5AA4E0512C1F}"/>
            </a:ext>
          </a:extLst>
        </xdr:cNvPr>
        <xdr:cNvSpPr/>
      </xdr:nvSpPr>
      <xdr:spPr>
        <a:xfrm>
          <a:off x="2769054" y="2564946"/>
          <a:ext cx="5368017" cy="30711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219076</xdr:colOff>
      <xdr:row>13</xdr:row>
      <xdr:rowOff>70758</xdr:rowOff>
    </xdr:from>
    <xdr:to>
      <xdr:col>11</xdr:col>
      <xdr:colOff>421821</xdr:colOff>
      <xdr:row>27</xdr:row>
      <xdr:rowOff>13608</xdr:rowOff>
    </xdr:to>
    <xdr:graphicFrame macro="">
      <xdr:nvGraphicFramePr>
        <xdr:cNvPr id="22" name="Chart 21">
          <a:extLst>
            <a:ext uri="{FF2B5EF4-FFF2-40B4-BE49-F238E27FC236}">
              <a16:creationId xmlns:a16="http://schemas.microsoft.com/office/drawing/2014/main" id="{6C6DD846-C5CD-46ED-A9CF-BB2FBD0A9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147126</xdr:colOff>
      <xdr:row>0</xdr:row>
      <xdr:rowOff>27215</xdr:rowOff>
    </xdr:from>
    <xdr:to>
      <xdr:col>12</xdr:col>
      <xdr:colOff>266189</xdr:colOff>
      <xdr:row>4</xdr:row>
      <xdr:rowOff>1701</xdr:rowOff>
    </xdr:to>
    <xdr:pic>
      <xdr:nvPicPr>
        <xdr:cNvPr id="38" name="Graphic 37" descr="Clapper board with solid fill">
          <a:extLst>
            <a:ext uri="{FF2B5EF4-FFF2-40B4-BE49-F238E27FC236}">
              <a16:creationId xmlns:a16="http://schemas.microsoft.com/office/drawing/2014/main" id="{F68223D6-B6F4-AC98-0A1C-FDF45B8DD95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31055" y="27215"/>
          <a:ext cx="799420" cy="790915"/>
        </a:xfrm>
        <a:prstGeom prst="rect">
          <a:avLst/>
        </a:prstGeom>
      </xdr:spPr>
    </xdr:pic>
    <xdr:clientData/>
  </xdr:twoCellAnchor>
  <xdr:twoCellAnchor>
    <xdr:from>
      <xdr:col>12</xdr:col>
      <xdr:colOff>136071</xdr:colOff>
      <xdr:row>12</xdr:row>
      <xdr:rowOff>115660</xdr:rowOff>
    </xdr:from>
    <xdr:to>
      <xdr:col>20</xdr:col>
      <xdr:colOff>111578</xdr:colOff>
      <xdr:row>27</xdr:row>
      <xdr:rowOff>125185</xdr:rowOff>
    </xdr:to>
    <xdr:sp macro="" textlink="">
      <xdr:nvSpPr>
        <xdr:cNvPr id="40" name="Rectangle: Rounded Corners 39">
          <a:extLst>
            <a:ext uri="{FF2B5EF4-FFF2-40B4-BE49-F238E27FC236}">
              <a16:creationId xmlns:a16="http://schemas.microsoft.com/office/drawing/2014/main" id="{1A2D9107-C97A-420C-8149-9465E3591A19}"/>
            </a:ext>
          </a:extLst>
        </xdr:cNvPr>
        <xdr:cNvSpPr/>
      </xdr:nvSpPr>
      <xdr:spPr>
        <a:xfrm>
          <a:off x="8300357" y="2564946"/>
          <a:ext cx="5418364" cy="30711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367392</xdr:colOff>
      <xdr:row>13</xdr:row>
      <xdr:rowOff>13607</xdr:rowOff>
    </xdr:from>
    <xdr:to>
      <xdr:col>19</xdr:col>
      <xdr:colOff>557891</xdr:colOff>
      <xdr:row>26</xdr:row>
      <xdr:rowOff>176892</xdr:rowOff>
    </xdr:to>
    <xdr:graphicFrame macro="">
      <xdr:nvGraphicFramePr>
        <xdr:cNvPr id="43" name="Chart 42">
          <a:extLst>
            <a:ext uri="{FF2B5EF4-FFF2-40B4-BE49-F238E27FC236}">
              <a16:creationId xmlns:a16="http://schemas.microsoft.com/office/drawing/2014/main" id="{1B76E572-1E67-4C75-9ECD-60D23B39D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367393</xdr:colOff>
      <xdr:row>7</xdr:row>
      <xdr:rowOff>183697</xdr:rowOff>
    </xdr:from>
    <xdr:to>
      <xdr:col>6</xdr:col>
      <xdr:colOff>394607</xdr:colOff>
      <xdr:row>10</xdr:row>
      <xdr:rowOff>61233</xdr:rowOff>
    </xdr:to>
    <xdr:sp macro="" textlink="'Pivot Sheet'!D51">
      <xdr:nvSpPr>
        <xdr:cNvPr id="45" name="Rectangle: Rounded Corners 44">
          <a:extLst>
            <a:ext uri="{FF2B5EF4-FFF2-40B4-BE49-F238E27FC236}">
              <a16:creationId xmlns:a16="http://schemas.microsoft.com/office/drawing/2014/main" id="{D13498F8-8362-22EC-1D22-9784F4F5B890}"/>
            </a:ext>
          </a:extLst>
        </xdr:cNvPr>
        <xdr:cNvSpPr/>
      </xdr:nvSpPr>
      <xdr:spPr>
        <a:xfrm>
          <a:off x="3088822" y="1612447"/>
          <a:ext cx="1387928" cy="4898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DDABC6-A0D5-40C2-861C-5646156E0795}" type="TxLink">
            <a:rPr lang="en-US" sz="2800" b="1" i="0" u="none" strike="noStrike">
              <a:solidFill>
                <a:schemeClr val="bg1"/>
              </a:solidFill>
              <a:effectLst>
                <a:outerShdw blurRad="50800" dist="38100" dir="2700000" algn="tl" rotWithShape="0">
                  <a:prstClr val="black">
                    <a:alpha val="40000"/>
                  </a:prstClr>
                </a:outerShdw>
              </a:effectLst>
              <a:latin typeface="Century Gothic"/>
            </a:rPr>
            <a:pPr algn="ctr"/>
            <a:t>74</a:t>
          </a:fld>
          <a:endParaRPr lang="en-US" sz="11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11</xdr:col>
      <xdr:colOff>84364</xdr:colOff>
      <xdr:row>7</xdr:row>
      <xdr:rowOff>183697</xdr:rowOff>
    </xdr:from>
    <xdr:to>
      <xdr:col>13</xdr:col>
      <xdr:colOff>111578</xdr:colOff>
      <xdr:row>10</xdr:row>
      <xdr:rowOff>61233</xdr:rowOff>
    </xdr:to>
    <xdr:sp macro="" textlink="'Pivot Sheet'!I49">
      <xdr:nvSpPr>
        <xdr:cNvPr id="51" name="Rectangle: Rounded Corners 50">
          <a:extLst>
            <a:ext uri="{FF2B5EF4-FFF2-40B4-BE49-F238E27FC236}">
              <a16:creationId xmlns:a16="http://schemas.microsoft.com/office/drawing/2014/main" id="{F32C218B-B784-4ADB-8221-6D48C63C77D5}"/>
            </a:ext>
          </a:extLst>
        </xdr:cNvPr>
        <xdr:cNvSpPr/>
      </xdr:nvSpPr>
      <xdr:spPr>
        <a:xfrm>
          <a:off x="7568293" y="1612447"/>
          <a:ext cx="1387928" cy="48985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4B4B95-F26C-4A7C-A305-7A3DF79EF729}" type="TxLink">
            <a:rPr lang="en-US" sz="2800" b="1" i="0" u="none" strike="noStrike">
              <a:solidFill>
                <a:schemeClr val="bg1"/>
              </a:solidFill>
              <a:effectLst>
                <a:outerShdw blurRad="50800" dist="38100" dir="2700000" algn="tl" rotWithShape="0">
                  <a:prstClr val="black">
                    <a:alpha val="40000"/>
                  </a:prstClr>
                </a:outerShdw>
              </a:effectLst>
              <a:latin typeface="Century Gothic"/>
            </a:rPr>
            <a:pPr algn="ctr"/>
            <a:t>4.74</a:t>
          </a:fld>
          <a:endParaRPr lang="en-US" sz="11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14</xdr:col>
      <xdr:colOff>190500</xdr:colOff>
      <xdr:row>7</xdr:row>
      <xdr:rowOff>136072</xdr:rowOff>
    </xdr:from>
    <xdr:to>
      <xdr:col>16</xdr:col>
      <xdr:colOff>612322</xdr:colOff>
      <xdr:row>10</xdr:row>
      <xdr:rowOff>108858</xdr:rowOff>
    </xdr:to>
    <xdr:sp macro="" textlink="'Pivot Sheet'!D52">
      <xdr:nvSpPr>
        <xdr:cNvPr id="52" name="Rectangle: Rounded Corners 51">
          <a:extLst>
            <a:ext uri="{FF2B5EF4-FFF2-40B4-BE49-F238E27FC236}">
              <a16:creationId xmlns:a16="http://schemas.microsoft.com/office/drawing/2014/main" id="{C45203FD-8ECC-4D22-8FFF-B8644300CCBD}"/>
            </a:ext>
          </a:extLst>
        </xdr:cNvPr>
        <xdr:cNvSpPr/>
      </xdr:nvSpPr>
      <xdr:spPr>
        <a:xfrm>
          <a:off x="9715500" y="1564822"/>
          <a:ext cx="1782536" cy="5851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28E1FB-1BF1-41E8-9D1A-4A808F540719}" type="TxLink">
            <a:rPr lang="en-US" sz="1200" b="1" i="0" u="none" strike="noStrike">
              <a:solidFill>
                <a:schemeClr val="bg1"/>
              </a:solidFill>
              <a:effectLst>
                <a:outerShdw blurRad="50800" dist="38100" dir="2700000" algn="tl" rotWithShape="0">
                  <a:prstClr val="black">
                    <a:alpha val="40000"/>
                  </a:prstClr>
                </a:outerShdw>
              </a:effectLst>
              <a:latin typeface="Century Gothic"/>
            </a:rPr>
            <a:t>The Twilight Saga: New Moon</a:t>
          </a:fld>
          <a:endParaRPr lang="en-US" sz="11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7</xdr:col>
      <xdr:colOff>628649</xdr:colOff>
      <xdr:row>7</xdr:row>
      <xdr:rowOff>183697</xdr:rowOff>
    </xdr:from>
    <xdr:to>
      <xdr:col>9</xdr:col>
      <xdr:colOff>655864</xdr:colOff>
      <xdr:row>10</xdr:row>
      <xdr:rowOff>61233</xdr:rowOff>
    </xdr:to>
    <xdr:sp macro="" textlink="'Pivot Sheet'!D50">
      <xdr:nvSpPr>
        <xdr:cNvPr id="54" name="Rectangle: Rounded Corners 53">
          <a:extLst>
            <a:ext uri="{FF2B5EF4-FFF2-40B4-BE49-F238E27FC236}">
              <a16:creationId xmlns:a16="http://schemas.microsoft.com/office/drawing/2014/main" id="{C95A6F3D-7C74-4944-8E1F-22002674ED89}"/>
            </a:ext>
          </a:extLst>
        </xdr:cNvPr>
        <xdr:cNvSpPr/>
      </xdr:nvSpPr>
      <xdr:spPr>
        <a:xfrm>
          <a:off x="5391149" y="1612447"/>
          <a:ext cx="1387929" cy="4898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8717E9-7117-4F07-B691-E7C4F205B1EA}" type="TxLink">
            <a:rPr lang="en-US" sz="2000" b="1" i="0" u="none" strike="noStrike">
              <a:solidFill>
                <a:schemeClr val="bg1"/>
              </a:solidFill>
              <a:effectLst>
                <a:outerShdw blurRad="50800" dist="38100" dir="2700000" algn="tl" rotWithShape="0">
                  <a:prstClr val="black">
                    <a:alpha val="40000"/>
                  </a:prstClr>
                </a:outerShdw>
              </a:effectLst>
              <a:latin typeface="Century Gothic"/>
            </a:rPr>
            <a:pPr algn="ctr"/>
            <a:t>$10.09 B</a:t>
          </a:fld>
          <a:endParaRPr lang="en-US" b="1">
            <a:solidFill>
              <a:schemeClr val="bg1"/>
            </a:solidFill>
            <a:effectLst>
              <a:outerShdw blurRad="50800" dist="38100" dir="2700000" algn="tl" rotWithShape="0">
                <a:prstClr val="black">
                  <a:alpha val="40000"/>
                </a:prstClr>
              </a:outerShdw>
            </a:effectLst>
          </a:endParaRPr>
        </a:p>
      </xdr:txBody>
    </xdr:sp>
    <xdr:clientData/>
  </xdr:twoCellAnchor>
  <xdr:twoCellAnchor editAs="oneCell">
    <xdr:from>
      <xdr:col>0</xdr:col>
      <xdr:colOff>259217</xdr:colOff>
      <xdr:row>7</xdr:row>
      <xdr:rowOff>189141</xdr:rowOff>
    </xdr:from>
    <xdr:to>
      <xdr:col>3</xdr:col>
      <xdr:colOff>364617</xdr:colOff>
      <xdr:row>14</xdr:row>
      <xdr:rowOff>95250</xdr:rowOff>
    </xdr:to>
    <mc:AlternateContent xmlns:mc="http://schemas.openxmlformats.org/markup-compatibility/2006" xmlns:a14="http://schemas.microsoft.com/office/drawing/2010/main">
      <mc:Choice Requires="a14">
        <xdr:graphicFrame macro="">
          <xdr:nvGraphicFramePr>
            <xdr:cNvPr id="58" name="Genre">
              <a:extLst>
                <a:ext uri="{FF2B5EF4-FFF2-40B4-BE49-F238E27FC236}">
                  <a16:creationId xmlns:a16="http://schemas.microsoft.com/office/drawing/2014/main" id="{B4F095A0-EF9E-CCE4-A65D-DB9711BD010C}"/>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59217" y="1617891"/>
              <a:ext cx="2146471" cy="133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252412</xdr:colOff>
      <xdr:row>14</xdr:row>
      <xdr:rowOff>161923</xdr:rowOff>
    </xdr:from>
    <xdr:to>
      <xdr:col>3</xdr:col>
      <xdr:colOff>371601</xdr:colOff>
      <xdr:row>35</xdr:row>
      <xdr:rowOff>163286</xdr:rowOff>
    </xdr:to>
    <mc:AlternateContent xmlns:mc="http://schemas.openxmlformats.org/markup-compatibility/2006" xmlns:a14="http://schemas.microsoft.com/office/drawing/2010/main">
      <mc:Choice Requires="a14">
        <xdr:graphicFrame macro="">
          <xdr:nvGraphicFramePr>
            <xdr:cNvPr id="59" name="Lead Studio">
              <a:extLst>
                <a:ext uri="{FF2B5EF4-FFF2-40B4-BE49-F238E27FC236}">
                  <a16:creationId xmlns:a16="http://schemas.microsoft.com/office/drawing/2014/main" id="{5F8EE472-D878-3B12-1601-8944CDDDD8D3}"/>
                </a:ext>
              </a:extLst>
            </xdr:cNvPr>
            <xdr:cNvGraphicFramePr/>
          </xdr:nvGraphicFramePr>
          <xdr:xfrm>
            <a:off x="0" y="0"/>
            <a:ext cx="0" cy="0"/>
          </xdr:xfrm>
          <a:graphic>
            <a:graphicData uri="http://schemas.microsoft.com/office/drawing/2010/slicer">
              <sle:slicer xmlns:sle="http://schemas.microsoft.com/office/drawing/2010/slicer" name="Lead Studio"/>
            </a:graphicData>
          </a:graphic>
        </xdr:graphicFrame>
      </mc:Choice>
      <mc:Fallback xmlns="">
        <xdr:sp macro="" textlink="">
          <xdr:nvSpPr>
            <xdr:cNvPr id="0" name=""/>
            <xdr:cNvSpPr>
              <a:spLocks noTextEdit="1"/>
            </xdr:cNvSpPr>
          </xdr:nvSpPr>
          <xdr:spPr>
            <a:xfrm>
              <a:off x="252412" y="3019423"/>
              <a:ext cx="2160260" cy="4287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263977</xdr:colOff>
      <xdr:row>1</xdr:row>
      <xdr:rowOff>53068</xdr:rowOff>
    </xdr:from>
    <xdr:to>
      <xdr:col>3</xdr:col>
      <xdr:colOff>359729</xdr:colOff>
      <xdr:row>7</xdr:row>
      <xdr:rowOff>122464</xdr:rowOff>
    </xdr:to>
    <mc:AlternateContent xmlns:mc="http://schemas.openxmlformats.org/markup-compatibility/2006" xmlns:a14="http://schemas.microsoft.com/office/drawing/2010/main">
      <mc:Choice Requires="a14">
        <xdr:graphicFrame macro="">
          <xdr:nvGraphicFramePr>
            <xdr:cNvPr id="60" name="Year">
              <a:extLst>
                <a:ext uri="{FF2B5EF4-FFF2-40B4-BE49-F238E27FC236}">
                  <a16:creationId xmlns:a16="http://schemas.microsoft.com/office/drawing/2014/main" id="{580E0927-8827-0184-E906-B32B5A8690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3977" y="257175"/>
              <a:ext cx="2136823" cy="1294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47626</xdr:colOff>
      <xdr:row>29</xdr:row>
      <xdr:rowOff>31297</xdr:rowOff>
    </xdr:from>
    <xdr:to>
      <xdr:col>12</xdr:col>
      <xdr:colOff>20411</xdr:colOff>
      <xdr:row>44</xdr:row>
      <xdr:rowOff>40822</xdr:rowOff>
    </xdr:to>
    <xdr:sp macro="" textlink="">
      <xdr:nvSpPr>
        <xdr:cNvPr id="61" name="Rectangle: Rounded Corners 60">
          <a:extLst>
            <a:ext uri="{FF2B5EF4-FFF2-40B4-BE49-F238E27FC236}">
              <a16:creationId xmlns:a16="http://schemas.microsoft.com/office/drawing/2014/main" id="{59B486AA-2C11-41E4-8A9C-A07FC8E1EEDC}"/>
            </a:ext>
          </a:extLst>
        </xdr:cNvPr>
        <xdr:cNvSpPr/>
      </xdr:nvSpPr>
      <xdr:spPr>
        <a:xfrm>
          <a:off x="2769055" y="5950404"/>
          <a:ext cx="5415642" cy="30711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238123</xdr:colOff>
      <xdr:row>29</xdr:row>
      <xdr:rowOff>31297</xdr:rowOff>
    </xdr:from>
    <xdr:to>
      <xdr:col>20</xdr:col>
      <xdr:colOff>95249</xdr:colOff>
      <xdr:row>44</xdr:row>
      <xdr:rowOff>40822</xdr:rowOff>
    </xdr:to>
    <xdr:sp macro="" textlink="">
      <xdr:nvSpPr>
        <xdr:cNvPr id="62" name="Rectangle: Rounded Corners 61">
          <a:extLst>
            <a:ext uri="{FF2B5EF4-FFF2-40B4-BE49-F238E27FC236}">
              <a16:creationId xmlns:a16="http://schemas.microsoft.com/office/drawing/2014/main" id="{83B413D0-A76D-4EA4-8CD3-081DA3E1E4D3}"/>
            </a:ext>
          </a:extLst>
        </xdr:cNvPr>
        <xdr:cNvSpPr/>
      </xdr:nvSpPr>
      <xdr:spPr>
        <a:xfrm>
          <a:off x="8402409" y="5950404"/>
          <a:ext cx="5299983" cy="30711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258534</xdr:colOff>
      <xdr:row>29</xdr:row>
      <xdr:rowOff>176891</xdr:rowOff>
    </xdr:from>
    <xdr:to>
      <xdr:col>11</xdr:col>
      <xdr:colOff>394607</xdr:colOff>
      <xdr:row>43</xdr:row>
      <xdr:rowOff>149678</xdr:rowOff>
    </xdr:to>
    <xdr:graphicFrame macro="">
      <xdr:nvGraphicFramePr>
        <xdr:cNvPr id="63" name="Chart 62">
          <a:extLst>
            <a:ext uri="{FF2B5EF4-FFF2-40B4-BE49-F238E27FC236}">
              <a16:creationId xmlns:a16="http://schemas.microsoft.com/office/drawing/2014/main" id="{1AC5240D-3E11-4EB6-B6C0-9D771E3D5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317047</xdr:colOff>
      <xdr:row>29</xdr:row>
      <xdr:rowOff>25854</xdr:rowOff>
    </xdr:from>
    <xdr:to>
      <xdr:col>27</xdr:col>
      <xdr:colOff>4082</xdr:colOff>
      <xdr:row>44</xdr:row>
      <xdr:rowOff>40822</xdr:rowOff>
    </xdr:to>
    <xdr:sp macro="" textlink="">
      <xdr:nvSpPr>
        <xdr:cNvPr id="2051" name="Rectangle: Rounded Corners 2050">
          <a:extLst>
            <a:ext uri="{FF2B5EF4-FFF2-40B4-BE49-F238E27FC236}">
              <a16:creationId xmlns:a16="http://schemas.microsoft.com/office/drawing/2014/main" id="{1FF7FC2E-717B-43BD-A760-A7D9E12BEADF}"/>
            </a:ext>
          </a:extLst>
        </xdr:cNvPr>
        <xdr:cNvSpPr/>
      </xdr:nvSpPr>
      <xdr:spPr>
        <a:xfrm>
          <a:off x="13924190" y="5944961"/>
          <a:ext cx="4449535" cy="30765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244925</xdr:colOff>
      <xdr:row>12</xdr:row>
      <xdr:rowOff>115660</xdr:rowOff>
    </xdr:from>
    <xdr:to>
      <xdr:col>27</xdr:col>
      <xdr:colOff>4082</xdr:colOff>
      <xdr:row>27</xdr:row>
      <xdr:rowOff>125185</xdr:rowOff>
    </xdr:to>
    <xdr:sp macro="" textlink="">
      <xdr:nvSpPr>
        <xdr:cNvPr id="2052" name="Rectangle: Rounded Corners 2051">
          <a:extLst>
            <a:ext uri="{FF2B5EF4-FFF2-40B4-BE49-F238E27FC236}">
              <a16:creationId xmlns:a16="http://schemas.microsoft.com/office/drawing/2014/main" id="{82C01A2B-EFBD-46B6-B009-28C2C37E12EA}"/>
            </a:ext>
          </a:extLst>
        </xdr:cNvPr>
        <xdr:cNvSpPr/>
      </xdr:nvSpPr>
      <xdr:spPr>
        <a:xfrm>
          <a:off x="13852068" y="2564946"/>
          <a:ext cx="4521657" cy="30711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462642</xdr:colOff>
      <xdr:row>12</xdr:row>
      <xdr:rowOff>202746</xdr:rowOff>
    </xdr:from>
    <xdr:to>
      <xdr:col>26</xdr:col>
      <xdr:colOff>449036</xdr:colOff>
      <xdr:row>26</xdr:row>
      <xdr:rowOff>163285</xdr:rowOff>
    </xdr:to>
    <xdr:graphicFrame macro="">
      <xdr:nvGraphicFramePr>
        <xdr:cNvPr id="2054" name="Chart 2053">
          <a:extLst>
            <a:ext uri="{FF2B5EF4-FFF2-40B4-BE49-F238E27FC236}">
              <a16:creationId xmlns:a16="http://schemas.microsoft.com/office/drawing/2014/main" id="{058CB1AE-D99F-4D52-947C-9AB395269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283028</xdr:colOff>
      <xdr:row>36</xdr:row>
      <xdr:rowOff>28575</xdr:rowOff>
    </xdr:from>
    <xdr:to>
      <xdr:col>3</xdr:col>
      <xdr:colOff>367393</xdr:colOff>
      <xdr:row>42</xdr:row>
      <xdr:rowOff>108857</xdr:rowOff>
    </xdr:to>
    <mc:AlternateContent xmlns:mc="http://schemas.openxmlformats.org/markup-compatibility/2006" xmlns:a14="http://schemas.microsoft.com/office/drawing/2010/main">
      <mc:Choice Requires="a14">
        <xdr:graphicFrame macro="">
          <xdr:nvGraphicFramePr>
            <xdr:cNvPr id="2055" name="Rating Level">
              <a:extLst>
                <a:ext uri="{FF2B5EF4-FFF2-40B4-BE49-F238E27FC236}">
                  <a16:creationId xmlns:a16="http://schemas.microsoft.com/office/drawing/2014/main" id="{6B57AF7D-AD60-9310-6F78-5513790F09A7}"/>
                </a:ext>
              </a:extLst>
            </xdr:cNvPr>
            <xdr:cNvGraphicFramePr/>
          </xdr:nvGraphicFramePr>
          <xdr:xfrm>
            <a:off x="0" y="0"/>
            <a:ext cx="0" cy="0"/>
          </xdr:xfrm>
          <a:graphic>
            <a:graphicData uri="http://schemas.microsoft.com/office/drawing/2010/slicer">
              <sle:slicer xmlns:sle="http://schemas.microsoft.com/office/drawing/2010/slicer" name="Rating Level"/>
            </a:graphicData>
          </a:graphic>
        </xdr:graphicFrame>
      </mc:Choice>
      <mc:Fallback xmlns="">
        <xdr:sp macro="" textlink="">
          <xdr:nvSpPr>
            <xdr:cNvPr id="0" name=""/>
            <xdr:cNvSpPr>
              <a:spLocks noTextEdit="1"/>
            </xdr:cNvSpPr>
          </xdr:nvSpPr>
          <xdr:spPr>
            <a:xfrm>
              <a:off x="283028" y="7376432"/>
              <a:ext cx="2125436"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387805</xdr:colOff>
      <xdr:row>4</xdr:row>
      <xdr:rowOff>57150</xdr:rowOff>
    </xdr:from>
    <xdr:to>
      <xdr:col>23</xdr:col>
      <xdr:colOff>464005</xdr:colOff>
      <xdr:row>10</xdr:row>
      <xdr:rowOff>194583</xdr:rowOff>
    </xdr:to>
    <xdr:sp macro="" textlink="">
      <xdr:nvSpPr>
        <xdr:cNvPr id="2056" name="Rectangle: Rounded Corners 2055">
          <a:extLst>
            <a:ext uri="{FF2B5EF4-FFF2-40B4-BE49-F238E27FC236}">
              <a16:creationId xmlns:a16="http://schemas.microsoft.com/office/drawing/2014/main" id="{CF6A05B7-047A-4FB2-864C-8E7DB0CB3CB6}"/>
            </a:ext>
          </a:extLst>
        </xdr:cNvPr>
        <xdr:cNvSpPr/>
      </xdr:nvSpPr>
      <xdr:spPr>
        <a:xfrm>
          <a:off x="13994948" y="873579"/>
          <a:ext cx="2117271" cy="136207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Top</a:t>
          </a:r>
          <a:r>
            <a:rPr lang="en-US" sz="2000" b="1" baseline="0"/>
            <a:t> Studio</a:t>
          </a:r>
          <a:endParaRPr lang="en-US" sz="2000" b="1"/>
        </a:p>
      </xdr:txBody>
    </xdr:sp>
    <xdr:clientData/>
  </xdr:twoCellAnchor>
  <xdr:twoCellAnchor>
    <xdr:from>
      <xdr:col>23</xdr:col>
      <xdr:colOff>608240</xdr:colOff>
      <xdr:row>4</xdr:row>
      <xdr:rowOff>46263</xdr:rowOff>
    </xdr:from>
    <xdr:to>
      <xdr:col>27</xdr:col>
      <xdr:colOff>4082</xdr:colOff>
      <xdr:row>10</xdr:row>
      <xdr:rowOff>183696</xdr:rowOff>
    </xdr:to>
    <xdr:sp macro="" textlink="">
      <xdr:nvSpPr>
        <xdr:cNvPr id="2057" name="Rectangle: Rounded Corners 2056">
          <a:extLst>
            <a:ext uri="{FF2B5EF4-FFF2-40B4-BE49-F238E27FC236}">
              <a16:creationId xmlns:a16="http://schemas.microsoft.com/office/drawing/2014/main" id="{A11EEF19-958B-4B30-B633-CAC54A14AF44}"/>
            </a:ext>
          </a:extLst>
        </xdr:cNvPr>
        <xdr:cNvSpPr/>
      </xdr:nvSpPr>
      <xdr:spPr>
        <a:xfrm>
          <a:off x="16256454" y="862692"/>
          <a:ext cx="2117271" cy="136207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Top</a:t>
          </a:r>
          <a:r>
            <a:rPr lang="en-US" sz="2000" b="1" baseline="0"/>
            <a:t> Genre</a:t>
          </a:r>
          <a:endParaRPr lang="en-US" sz="2000" b="1"/>
        </a:p>
      </xdr:txBody>
    </xdr:sp>
    <xdr:clientData/>
  </xdr:twoCellAnchor>
  <xdr:twoCellAnchor>
    <xdr:from>
      <xdr:col>24</xdr:col>
      <xdr:colOff>308884</xdr:colOff>
      <xdr:row>7</xdr:row>
      <xdr:rowOff>183697</xdr:rowOff>
    </xdr:from>
    <xdr:to>
      <xdr:col>26</xdr:col>
      <xdr:colOff>336099</xdr:colOff>
      <xdr:row>10</xdr:row>
      <xdr:rowOff>61233</xdr:rowOff>
    </xdr:to>
    <xdr:sp macro="" textlink="'Pivot Sheet'!H6">
      <xdr:nvSpPr>
        <xdr:cNvPr id="2058" name="Rectangle: Rounded Corners 2057">
          <a:extLst>
            <a:ext uri="{FF2B5EF4-FFF2-40B4-BE49-F238E27FC236}">
              <a16:creationId xmlns:a16="http://schemas.microsoft.com/office/drawing/2014/main" id="{BCFECEB8-9976-46CC-976A-D1532ECD1F94}"/>
            </a:ext>
          </a:extLst>
        </xdr:cNvPr>
        <xdr:cNvSpPr/>
      </xdr:nvSpPr>
      <xdr:spPr>
        <a:xfrm>
          <a:off x="16637455" y="1612447"/>
          <a:ext cx="1387930" cy="4898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9C9810-F234-4B97-9405-5F771B27C717}" type="TxLink">
            <a:rPr lang="en-US" sz="1400" b="1" i="0" u="none" strike="noStrike">
              <a:solidFill>
                <a:schemeClr val="bg1"/>
              </a:solidFill>
              <a:effectLst>
                <a:outerShdw blurRad="50800" dist="38100" dir="2700000" algn="tl" rotWithShape="0">
                  <a:prstClr val="black">
                    <a:alpha val="40000"/>
                  </a:prstClr>
                </a:outerShdw>
              </a:effectLst>
              <a:latin typeface="Century Gothic"/>
            </a:rPr>
            <a:t>Comedy</a:t>
          </a:fld>
          <a:endParaRPr lang="en-US" sz="16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21</xdr:col>
      <xdr:colOff>88448</xdr:colOff>
      <xdr:row>7</xdr:row>
      <xdr:rowOff>163285</xdr:rowOff>
    </xdr:from>
    <xdr:to>
      <xdr:col>23</xdr:col>
      <xdr:colOff>115662</xdr:colOff>
      <xdr:row>10</xdr:row>
      <xdr:rowOff>81644</xdr:rowOff>
    </xdr:to>
    <xdr:sp macro="" textlink="'Pivot Sheet'!H3">
      <xdr:nvSpPr>
        <xdr:cNvPr id="2059" name="Rectangle: Rounded Corners 2058">
          <a:extLst>
            <a:ext uri="{FF2B5EF4-FFF2-40B4-BE49-F238E27FC236}">
              <a16:creationId xmlns:a16="http://schemas.microsoft.com/office/drawing/2014/main" id="{CF63CD5C-90A6-4B39-8ECE-BD11549F188D}"/>
            </a:ext>
          </a:extLst>
        </xdr:cNvPr>
        <xdr:cNvSpPr/>
      </xdr:nvSpPr>
      <xdr:spPr>
        <a:xfrm>
          <a:off x="14375948" y="1592035"/>
          <a:ext cx="1387928" cy="530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A2B325-6EDB-491C-A9B2-FA7BB54846B5}" type="TxLink">
            <a:rPr lang="en-US" sz="1400" b="1" i="0" u="none" strike="noStrike">
              <a:ln>
                <a:noFill/>
              </a:ln>
              <a:solidFill>
                <a:schemeClr val="bg1"/>
              </a:solidFill>
              <a:effectLst>
                <a:outerShdw blurRad="50800" dist="38100" dir="2700000" algn="tl" rotWithShape="0">
                  <a:prstClr val="black">
                    <a:alpha val="40000"/>
                  </a:prstClr>
                </a:outerShdw>
              </a:effectLst>
              <a:latin typeface="Century Gothic"/>
            </a:rPr>
            <a:t>Warner Bros.</a:t>
          </a:fld>
          <a:endParaRPr lang="en-US" sz="1400" b="1" i="0">
            <a:ln>
              <a:no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17</xdr:col>
      <xdr:colOff>340179</xdr:colOff>
      <xdr:row>7</xdr:row>
      <xdr:rowOff>149679</xdr:rowOff>
    </xdr:from>
    <xdr:to>
      <xdr:col>20</xdr:col>
      <xdr:colOff>108857</xdr:colOff>
      <xdr:row>10</xdr:row>
      <xdr:rowOff>95251</xdr:rowOff>
    </xdr:to>
    <xdr:sp macro="" textlink="'Pivot Sheet'!I50">
      <xdr:nvSpPr>
        <xdr:cNvPr id="2060" name="Rectangle: Rounded Corners 2059">
          <a:extLst>
            <a:ext uri="{FF2B5EF4-FFF2-40B4-BE49-F238E27FC236}">
              <a16:creationId xmlns:a16="http://schemas.microsoft.com/office/drawing/2014/main" id="{C72A6724-0C58-44DE-AC91-9BDE590824B5}"/>
            </a:ext>
          </a:extLst>
        </xdr:cNvPr>
        <xdr:cNvSpPr/>
      </xdr:nvSpPr>
      <xdr:spPr>
        <a:xfrm>
          <a:off x="11906250" y="1578429"/>
          <a:ext cx="1809750" cy="557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BFAE07-6954-4476-8048-B25F85E13596}" type="TxLink">
            <a:rPr lang="en-US" sz="1400" b="1" i="0" u="none" strike="noStrike">
              <a:solidFill>
                <a:schemeClr val="bg1"/>
              </a:solidFill>
              <a:effectLst>
                <a:outerShdw blurRad="50800" dist="38100" dir="2700000" algn="tl" rotWithShape="0">
                  <a:prstClr val="black">
                    <a:alpha val="40000"/>
                  </a:prstClr>
                </a:outerShdw>
              </a:effectLst>
              <a:latin typeface="Century Gothic"/>
            </a:rPr>
            <a:t>Fireproof</a:t>
          </a:fld>
          <a:endParaRPr lang="en-US" sz="1100" b="1" i="0" u="none" strike="noStrike">
            <a:solidFill>
              <a:schemeClr val="bg1"/>
            </a:solidFill>
            <a:effectLst>
              <a:outerShdw blurRad="50800" dist="38100" dir="2700000" algn="tl" rotWithShape="0">
                <a:prstClr val="black">
                  <a:alpha val="40000"/>
                </a:prstClr>
              </a:outerShdw>
            </a:effectLst>
            <a:latin typeface="Century Gothic"/>
          </a:endParaRPr>
        </a:p>
      </xdr:txBody>
    </xdr:sp>
    <xdr:clientData/>
  </xdr:twoCellAnchor>
  <xdr:twoCellAnchor>
    <xdr:from>
      <xdr:col>12</xdr:col>
      <xdr:colOff>449036</xdr:colOff>
      <xdr:row>29</xdr:row>
      <xdr:rowOff>204106</xdr:rowOff>
    </xdr:from>
    <xdr:to>
      <xdr:col>19</xdr:col>
      <xdr:colOff>530678</xdr:colOff>
      <xdr:row>43</xdr:row>
      <xdr:rowOff>122463</xdr:rowOff>
    </xdr:to>
    <xdr:graphicFrame macro="">
      <xdr:nvGraphicFramePr>
        <xdr:cNvPr id="2061" name="Chart 2060">
          <a:extLst>
            <a:ext uri="{FF2B5EF4-FFF2-40B4-BE49-F238E27FC236}">
              <a16:creationId xmlns:a16="http://schemas.microsoft.com/office/drawing/2014/main" id="{A8B01F46-A726-4FB7-9220-0DB9B913C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421821</xdr:colOff>
      <xdr:row>29</xdr:row>
      <xdr:rowOff>176894</xdr:rowOff>
    </xdr:from>
    <xdr:to>
      <xdr:col>26</xdr:col>
      <xdr:colOff>394607</xdr:colOff>
      <xdr:row>43</xdr:row>
      <xdr:rowOff>81644</xdr:rowOff>
    </xdr:to>
    <xdr:graphicFrame macro="">
      <xdr:nvGraphicFramePr>
        <xdr:cNvPr id="2062" name="Chart 2061">
          <a:extLst>
            <a:ext uri="{FF2B5EF4-FFF2-40B4-BE49-F238E27FC236}">
              <a16:creationId xmlns:a16="http://schemas.microsoft.com/office/drawing/2014/main" id="{8684A565-3EF0-4DAB-B09C-6C96D8C38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8.534451041669" createdVersion="8" refreshedVersion="8" minRefreshableVersion="3" recordCount="74" xr:uid="{5C259F35-FFFB-4CD0-8F4F-7ADE80AFC3C3}">
  <cacheSource type="worksheet">
    <worksheetSource name="Table1"/>
  </cacheSource>
  <cacheFields count="10">
    <cacheField name="Film" numFmtId="0">
      <sharedItems count="74">
        <s v="Fireproof"/>
        <s v="High School Musical 3: Senior Year"/>
        <s v="The Twilight Saga: New Moon"/>
        <s v="Waitress"/>
        <s v="Twilight"/>
        <s v="Mamma Mia!"/>
        <s v="Midnight in Paris"/>
        <s v="(500) Days of Summer"/>
        <s v="The Proposal"/>
        <s v="Sex and the City"/>
        <s v="He's Just Not That Into You"/>
        <s v="Knocked Up"/>
        <s v="Twilight: Breaking Dawn"/>
        <s v="What Happens in Vegas"/>
        <s v="The Ugly Truth"/>
        <s v="Gnomeo and Juliet"/>
        <s v="27 Dresses"/>
        <s v="P.S. I Love You"/>
        <s v="Dear John"/>
        <s v="Beginners"/>
        <s v="A Serious Man"/>
        <s v="Valentine's Day"/>
        <s v="Enchanted"/>
        <s v="Marley and Me"/>
        <s v="Tyler Perry's Why Did I get Married"/>
        <s v="One Day"/>
        <s v="Music and Lyrics"/>
        <s v="Remember Me"/>
        <s v="Nick and Norah's Infinite Playlist"/>
        <s v="No Reservations"/>
        <s v="The Duchess"/>
        <s v="Water For Elephants"/>
        <s v="WALL-E"/>
        <s v="Sex and the City 2"/>
        <s v="Made of Honor"/>
        <s v="It's Complicated"/>
        <s v="Letters to Juliet"/>
        <s v="The Time Traveler's Wife"/>
        <s v="New Year's Eve"/>
        <s v="Life as We Know It"/>
        <s v="She's Out of My League"/>
        <s v="Good Luck Chuck"/>
        <s v="The Back-up Plan"/>
        <s v="Not Easily Broken"/>
        <s v="The Heartbreak Kid"/>
        <s v="Over Her Dead Body"/>
        <s v="Ghosts of Girlfriends Past"/>
        <s v="Four Christmases"/>
        <s v="Love Happens"/>
        <s v="Monte Carlo"/>
        <s v="License to Wed"/>
        <s v="Love &amp; Other Drugs"/>
        <s v="Just Wright"/>
        <s v="The Curious Case of Benjamin Button"/>
        <s v="The Invention of Lying"/>
        <s v="Zack and Miri Make a Porno"/>
        <s v="Something Borrowed"/>
        <s v="Leap Year"/>
        <s v="Rachel Getting Married"/>
        <s v="Penelope"/>
        <s v="Tangled"/>
        <s v="I Love You Phillip Morris"/>
        <s v="Going the Distance"/>
        <s v="Killers"/>
        <s v="You Will Meet a Tall Dark Stranger"/>
        <s v="Youth in Revolt"/>
        <s v="My Week with Marilyn"/>
        <s v="Across the Universe"/>
        <s v="A Dangerous Method"/>
        <s v="Miss Pettigrew Lives for a Day"/>
        <s v="Waiting For Forever"/>
        <s v="Jane Eyre"/>
        <s v="Our Family Wedding"/>
        <s v="When in Rome"/>
      </sharedItems>
    </cacheField>
    <cacheField name="Genre" numFmtId="0">
      <sharedItems count="6">
        <s v="Drama"/>
        <s v="Comedy"/>
        <s v="Romance"/>
        <s v="Animation"/>
        <s v="Fantasy"/>
        <s v="Action"/>
      </sharedItems>
    </cacheField>
    <cacheField name="Lead Studio" numFmtId="0">
      <sharedItems count="13">
        <s v="Independent"/>
        <s v="Disney"/>
        <s v="Summit"/>
        <s v="Universal"/>
        <s v="Sony"/>
        <s v="Fox"/>
        <s v="Warner Bros."/>
        <s v="Paramount"/>
        <s v="20th Century Fox"/>
        <s v="Lionsgate"/>
        <s v="CBS"/>
        <s v="New Line"/>
        <s v="The Weinstein Company"/>
      </sharedItems>
    </cacheField>
    <cacheField name="Audience  score %" numFmtId="0">
      <sharedItems containsString="0" containsBlank="1" containsNumber="1" containsInteger="1" minValue="35" maxValue="89"/>
    </cacheField>
    <cacheField name="Profitability" numFmtId="0">
      <sharedItems containsString="0" containsBlank="1" containsNumber="1" minValue="5.0000000000000001E-3" maxValue="66.933999999999997"/>
    </cacheField>
    <cacheField name="Rotten Tomatoes %" numFmtId="0">
      <sharedItems containsString="0" containsBlank="1" containsNumber="1" containsInteger="1" minValue="3" maxValue="96"/>
    </cacheField>
    <cacheField name="Worldwide Gross($M)" numFmtId="0">
      <sharedItems containsSemiMixedTypes="0" containsString="0" containsNumber="1" minValue="2.5000000000000001E-2" maxValue="709.82"/>
    </cacheField>
    <cacheField name="Year" numFmtId="0">
      <sharedItems containsSemiMixedTypes="0" containsString="0" containsNumber="1" containsInteger="1" minValue="2007" maxValue="2011" count="5">
        <n v="2008"/>
        <n v="2009"/>
        <n v="2007"/>
        <n v="2011"/>
        <n v="2010"/>
      </sharedItems>
    </cacheField>
    <cacheField name="Combined Score" numFmtId="0">
      <sharedItems containsSemiMixedTypes="0" containsString="0" containsNumber="1" minValue="0" maxValue="92.5"/>
    </cacheField>
    <cacheField name="Rating Level" numFmtId="0">
      <sharedItems count="3">
        <s v="Medium"/>
        <s v="High"/>
        <s v="Low"/>
      </sharedItems>
    </cacheField>
  </cacheFields>
  <extLst>
    <ext xmlns:x14="http://schemas.microsoft.com/office/spreadsheetml/2009/9/main" uri="{725AE2AE-9491-48be-B2B4-4EB974FC3084}">
      <x14:pivotCacheDefinition pivotCacheId="1547857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x v="0"/>
    <x v="0"/>
    <x v="0"/>
    <n v="51"/>
    <n v="66.933999999999997"/>
    <n v="40"/>
    <n v="33.466999999999999"/>
    <x v="0"/>
    <n v="45.5"/>
    <x v="0"/>
  </r>
  <r>
    <x v="1"/>
    <x v="1"/>
    <x v="1"/>
    <n v="76"/>
    <n v="22.91313646"/>
    <n v="65"/>
    <n v="252.044501"/>
    <x v="0"/>
    <n v="70.5"/>
    <x v="0"/>
  </r>
  <r>
    <x v="2"/>
    <x v="0"/>
    <x v="2"/>
    <n v="78"/>
    <n v="14.196400000000001"/>
    <n v="27"/>
    <n v="709.82"/>
    <x v="1"/>
    <n v="52.5"/>
    <x v="0"/>
  </r>
  <r>
    <x v="3"/>
    <x v="2"/>
    <x v="0"/>
    <n v="67"/>
    <n v="11.089741500000001"/>
    <n v="89"/>
    <n v="22.179483000000001"/>
    <x v="2"/>
    <n v="78"/>
    <x v="1"/>
  </r>
  <r>
    <x v="4"/>
    <x v="2"/>
    <x v="2"/>
    <n v="82"/>
    <n v="10.18002703"/>
    <n v="49"/>
    <n v="376.661"/>
    <x v="0"/>
    <n v="65.5"/>
    <x v="0"/>
  </r>
  <r>
    <x v="5"/>
    <x v="1"/>
    <x v="3"/>
    <n v="76"/>
    <n v="9.2344538640000007"/>
    <n v="53"/>
    <n v="609.47395500000005"/>
    <x v="0"/>
    <n v="64.5"/>
    <x v="0"/>
  </r>
  <r>
    <x v="6"/>
    <x v="2"/>
    <x v="4"/>
    <n v="84"/>
    <n v="8.7447058819999999"/>
    <n v="93"/>
    <n v="148.66"/>
    <x v="3"/>
    <n v="88.5"/>
    <x v="1"/>
  </r>
  <r>
    <x v="7"/>
    <x v="1"/>
    <x v="5"/>
    <n v="81"/>
    <n v="8.0960000000000001"/>
    <n v="87"/>
    <n v="60.72"/>
    <x v="1"/>
    <n v="84"/>
    <x v="1"/>
  </r>
  <r>
    <x v="8"/>
    <x v="1"/>
    <x v="1"/>
    <n v="74"/>
    <n v="7.8674999999999997"/>
    <n v="43"/>
    <n v="314.7"/>
    <x v="1"/>
    <n v="58.5"/>
    <x v="0"/>
  </r>
  <r>
    <x v="9"/>
    <x v="1"/>
    <x v="6"/>
    <n v="81"/>
    <n v="7.2217957909999999"/>
    <n v="49"/>
    <n v="415.25325800000002"/>
    <x v="0"/>
    <n v="65"/>
    <x v="0"/>
  </r>
  <r>
    <x v="10"/>
    <x v="1"/>
    <x v="6"/>
    <n v="60"/>
    <n v="7.1536"/>
    <n v="42"/>
    <n v="178.84"/>
    <x v="1"/>
    <n v="51"/>
    <x v="0"/>
  </r>
  <r>
    <x v="11"/>
    <x v="1"/>
    <x v="3"/>
    <n v="83"/>
    <n v="6.6364018480000002"/>
    <n v="91"/>
    <n v="219.001261"/>
    <x v="2"/>
    <n v="87"/>
    <x v="1"/>
  </r>
  <r>
    <x v="12"/>
    <x v="2"/>
    <x v="0"/>
    <n v="68"/>
    <n v="6.3833636360000003"/>
    <n v="26"/>
    <n v="702.17"/>
    <x v="3"/>
    <n v="47"/>
    <x v="0"/>
  </r>
  <r>
    <x v="13"/>
    <x v="1"/>
    <x v="5"/>
    <n v="72"/>
    <n v="6.2676470289999999"/>
    <n v="28"/>
    <n v="219.36764600000001"/>
    <x v="0"/>
    <n v="50"/>
    <x v="0"/>
  </r>
  <r>
    <x v="14"/>
    <x v="1"/>
    <x v="0"/>
    <n v="68"/>
    <n v="5.4026315790000004"/>
    <n v="14"/>
    <n v="205.3"/>
    <x v="1"/>
    <n v="41"/>
    <x v="0"/>
  </r>
  <r>
    <x v="15"/>
    <x v="3"/>
    <x v="1"/>
    <n v="52"/>
    <n v="5.3879722220000001"/>
    <n v="56"/>
    <n v="193.96700000000001"/>
    <x v="3"/>
    <n v="54"/>
    <x v="0"/>
  </r>
  <r>
    <x v="16"/>
    <x v="1"/>
    <x v="5"/>
    <n v="71"/>
    <n v="5.3436218000000002"/>
    <n v="40"/>
    <n v="160.30865399999999"/>
    <x v="0"/>
    <n v="55.5"/>
    <x v="0"/>
  </r>
  <r>
    <x v="17"/>
    <x v="2"/>
    <x v="0"/>
    <n v="82"/>
    <n v="5.1031168329999996"/>
    <n v="21"/>
    <n v="153.09350499999999"/>
    <x v="2"/>
    <n v="51.5"/>
    <x v="0"/>
  </r>
  <r>
    <x v="18"/>
    <x v="0"/>
    <x v="4"/>
    <n v="66"/>
    <n v="4.5987999999999998"/>
    <n v="29"/>
    <n v="114.97"/>
    <x v="4"/>
    <n v="47.5"/>
    <x v="0"/>
  </r>
  <r>
    <x v="19"/>
    <x v="1"/>
    <x v="0"/>
    <n v="80"/>
    <n v="4.4718749999999998"/>
    <n v="84"/>
    <n v="14.31"/>
    <x v="3"/>
    <n v="82"/>
    <x v="1"/>
  </r>
  <r>
    <x v="20"/>
    <x v="0"/>
    <x v="3"/>
    <n v="64"/>
    <n v="4.3828571429999998"/>
    <n v="89"/>
    <n v="30.68"/>
    <x v="1"/>
    <n v="76.5"/>
    <x v="1"/>
  </r>
  <r>
    <x v="21"/>
    <x v="1"/>
    <x v="6"/>
    <n v="54"/>
    <n v="4.1840384620000002"/>
    <n v="17"/>
    <n v="217.57"/>
    <x v="4"/>
    <n v="35.5"/>
    <x v="2"/>
  </r>
  <r>
    <x v="22"/>
    <x v="1"/>
    <x v="1"/>
    <n v="80"/>
    <n v="4.0057370819999996"/>
    <n v="93"/>
    <n v="340.48765200000003"/>
    <x v="2"/>
    <n v="86.5"/>
    <x v="1"/>
  </r>
  <r>
    <x v="23"/>
    <x v="1"/>
    <x v="5"/>
    <n v="77"/>
    <n v="3.7467818180000001"/>
    <n v="63"/>
    <n v="206.07300000000001"/>
    <x v="0"/>
    <n v="70"/>
    <x v="0"/>
  </r>
  <r>
    <x v="24"/>
    <x v="2"/>
    <x v="0"/>
    <n v="47"/>
    <n v="3.7241924000000002"/>
    <n v="46"/>
    <n v="55.862886000000003"/>
    <x v="2"/>
    <n v="46.5"/>
    <x v="0"/>
  </r>
  <r>
    <x v="25"/>
    <x v="2"/>
    <x v="0"/>
    <n v="54"/>
    <n v="3.6827333329999998"/>
    <n v="37"/>
    <n v="55.241"/>
    <x v="3"/>
    <n v="45.5"/>
    <x v="0"/>
  </r>
  <r>
    <x v="26"/>
    <x v="2"/>
    <x v="6"/>
    <n v="70"/>
    <n v="3.64741055"/>
    <n v="63"/>
    <n v="145.896422"/>
    <x v="2"/>
    <n v="66.5"/>
    <x v="0"/>
  </r>
  <r>
    <x v="27"/>
    <x v="0"/>
    <x v="2"/>
    <n v="70"/>
    <n v="3.49125"/>
    <n v="28"/>
    <n v="55.86"/>
    <x v="4"/>
    <n v="49"/>
    <x v="0"/>
  </r>
  <r>
    <x v="28"/>
    <x v="1"/>
    <x v="4"/>
    <n v="67"/>
    <n v="3.3527293"/>
    <n v="73"/>
    <n v="33.527293"/>
    <x v="0"/>
    <n v="70"/>
    <x v="0"/>
  </r>
  <r>
    <x v="29"/>
    <x v="1"/>
    <x v="6"/>
    <n v="64"/>
    <n v="3.307180357"/>
    <n v="39"/>
    <n v="92.601050000000001"/>
    <x v="2"/>
    <n v="51.5"/>
    <x v="0"/>
  </r>
  <r>
    <x v="30"/>
    <x v="0"/>
    <x v="7"/>
    <n v="68"/>
    <n v="3.2078502219999998"/>
    <n v="60"/>
    <n v="43.305978000000003"/>
    <x v="0"/>
    <n v="64"/>
    <x v="0"/>
  </r>
  <r>
    <x v="31"/>
    <x v="0"/>
    <x v="8"/>
    <n v="72"/>
    <n v="3.0814210530000001"/>
    <n v="60"/>
    <n v="117.09399999999999"/>
    <x v="3"/>
    <n v="66"/>
    <x v="0"/>
  </r>
  <r>
    <x v="32"/>
    <x v="3"/>
    <x v="1"/>
    <n v="89"/>
    <n v="2.8960190670000001"/>
    <n v="96"/>
    <n v="521.28343199999995"/>
    <x v="0"/>
    <n v="92.5"/>
    <x v="1"/>
  </r>
  <r>
    <x v="33"/>
    <x v="1"/>
    <x v="6"/>
    <n v="49"/>
    <n v="2.8835000000000002"/>
    <n v="15"/>
    <n v="288.35000000000002"/>
    <x v="4"/>
    <n v="32"/>
    <x v="2"/>
  </r>
  <r>
    <x v="34"/>
    <x v="1"/>
    <x v="4"/>
    <n v="61"/>
    <n v="2.6490683499999998"/>
    <n v="13"/>
    <n v="105.962734"/>
    <x v="0"/>
    <n v="37"/>
    <x v="2"/>
  </r>
  <r>
    <x v="35"/>
    <x v="1"/>
    <x v="3"/>
    <n v="63"/>
    <n v="2.642352941"/>
    <n v="56"/>
    <n v="224.6"/>
    <x v="1"/>
    <n v="59.5"/>
    <x v="0"/>
  </r>
  <r>
    <x v="36"/>
    <x v="1"/>
    <x v="2"/>
    <n v="62"/>
    <n v="2.6393333330000002"/>
    <n v="40"/>
    <n v="79.180000000000007"/>
    <x v="4"/>
    <n v="51"/>
    <x v="0"/>
  </r>
  <r>
    <x v="37"/>
    <x v="0"/>
    <x v="7"/>
    <n v="65"/>
    <n v="2.598205128"/>
    <n v="38"/>
    <n v="101.33"/>
    <x v="1"/>
    <n v="51.5"/>
    <x v="0"/>
  </r>
  <r>
    <x v="38"/>
    <x v="2"/>
    <x v="6"/>
    <n v="48"/>
    <n v="2.5364285710000001"/>
    <n v="8"/>
    <n v="142.04"/>
    <x v="3"/>
    <n v="28"/>
    <x v="2"/>
  </r>
  <r>
    <x v="39"/>
    <x v="1"/>
    <x v="0"/>
    <n v="62"/>
    <n v="2.530526316"/>
    <n v="28"/>
    <n v="96.16"/>
    <x v="4"/>
    <n v="45"/>
    <x v="0"/>
  </r>
  <r>
    <x v="40"/>
    <x v="1"/>
    <x v="7"/>
    <n v="60"/>
    <n v="2.4405000000000001"/>
    <n v="57"/>
    <n v="48.81"/>
    <x v="4"/>
    <n v="58.5"/>
    <x v="0"/>
  </r>
  <r>
    <x v="41"/>
    <x v="1"/>
    <x v="9"/>
    <n v="61"/>
    <n v="2.36768512"/>
    <n v="3"/>
    <n v="59.192127999999997"/>
    <x v="2"/>
    <n v="32"/>
    <x v="2"/>
  </r>
  <r>
    <x v="42"/>
    <x v="1"/>
    <x v="10"/>
    <n v="47"/>
    <n v="2.2025714289999998"/>
    <n v="20"/>
    <n v="77.09"/>
    <x v="4"/>
    <n v="33.5"/>
    <x v="2"/>
  </r>
  <r>
    <x v="43"/>
    <x v="0"/>
    <x v="0"/>
    <n v="66"/>
    <n v="2.14"/>
    <n v="34"/>
    <n v="10.7"/>
    <x v="1"/>
    <n v="50"/>
    <x v="0"/>
  </r>
  <r>
    <x v="44"/>
    <x v="1"/>
    <x v="7"/>
    <n v="41"/>
    <n v="2.1294441669999999"/>
    <n v="30"/>
    <n v="127.76665"/>
    <x v="2"/>
    <n v="35.5"/>
    <x v="2"/>
  </r>
  <r>
    <x v="45"/>
    <x v="1"/>
    <x v="11"/>
    <n v="47"/>
    <n v="2.0710000000000002"/>
    <n v="15"/>
    <n v="20.71"/>
    <x v="0"/>
    <n v="31"/>
    <x v="2"/>
  </r>
  <r>
    <x v="46"/>
    <x v="1"/>
    <x v="6"/>
    <n v="47"/>
    <n v="2.0444"/>
    <n v="27"/>
    <n v="102.22"/>
    <x v="1"/>
    <n v="37"/>
    <x v="2"/>
  </r>
  <r>
    <x v="47"/>
    <x v="1"/>
    <x v="6"/>
    <n v="52"/>
    <n v="2.0229249999999999"/>
    <n v="26"/>
    <n v="161.834"/>
    <x v="0"/>
    <n v="39"/>
    <x v="2"/>
  </r>
  <r>
    <x v="48"/>
    <x v="0"/>
    <x v="3"/>
    <n v="40"/>
    <n v="2.0044444440000002"/>
    <n v="18"/>
    <n v="36.08"/>
    <x v="1"/>
    <n v="29"/>
    <x v="2"/>
  </r>
  <r>
    <x v="49"/>
    <x v="2"/>
    <x v="8"/>
    <n v="50"/>
    <n v="1.9832000000000001"/>
    <n v="38"/>
    <n v="39.664000000000001"/>
    <x v="3"/>
    <n v="44"/>
    <x v="0"/>
  </r>
  <r>
    <x v="50"/>
    <x v="1"/>
    <x v="6"/>
    <n v="55"/>
    <n v="1.9802063999999999"/>
    <n v="8"/>
    <n v="69.307224000000005"/>
    <x v="2"/>
    <n v="31.5"/>
    <x v="2"/>
  </r>
  <r>
    <x v="51"/>
    <x v="1"/>
    <x v="5"/>
    <n v="55"/>
    <n v="1.8176666669999999"/>
    <n v="48"/>
    <n v="54.53"/>
    <x v="4"/>
    <n v="51.5"/>
    <x v="0"/>
  </r>
  <r>
    <x v="52"/>
    <x v="1"/>
    <x v="5"/>
    <n v="58"/>
    <n v="1.797416667"/>
    <n v="45"/>
    <n v="21.568999999999999"/>
    <x v="4"/>
    <n v="51.5"/>
    <x v="0"/>
  </r>
  <r>
    <x v="53"/>
    <x v="4"/>
    <x v="6"/>
    <n v="81"/>
    <n v="1.7839437499999999"/>
    <n v="73"/>
    <n v="285.43099999999998"/>
    <x v="0"/>
    <n v="77"/>
    <x v="1"/>
  </r>
  <r>
    <x v="54"/>
    <x v="1"/>
    <x v="6"/>
    <n v="47"/>
    <n v="1.7513513510000001"/>
    <n v="56"/>
    <n v="32.4"/>
    <x v="1"/>
    <n v="51.5"/>
    <x v="0"/>
  </r>
  <r>
    <x v="55"/>
    <x v="2"/>
    <x v="12"/>
    <n v="70"/>
    <n v="1.7475416669999999"/>
    <n v="64"/>
    <n v="41.941000000000003"/>
    <x v="0"/>
    <n v="67"/>
    <x v="0"/>
  </r>
  <r>
    <x v="56"/>
    <x v="2"/>
    <x v="0"/>
    <m/>
    <n v="1.7195142859999999"/>
    <m/>
    <n v="60.183"/>
    <x v="3"/>
    <n v="0"/>
    <x v="2"/>
  </r>
  <r>
    <x v="57"/>
    <x v="1"/>
    <x v="3"/>
    <n v="49"/>
    <n v="1.715263158"/>
    <n v="21"/>
    <n v="32.590000000000003"/>
    <x v="4"/>
    <n v="35"/>
    <x v="2"/>
  </r>
  <r>
    <x v="58"/>
    <x v="0"/>
    <x v="0"/>
    <n v="61"/>
    <n v="1.3841666669999999"/>
    <n v="85"/>
    <n v="16.61"/>
    <x v="0"/>
    <n v="73"/>
    <x v="0"/>
  </r>
  <r>
    <x v="59"/>
    <x v="1"/>
    <x v="2"/>
    <n v="74"/>
    <n v="1.3827997329999999"/>
    <n v="52"/>
    <n v="20.741996"/>
    <x v="0"/>
    <n v="63"/>
    <x v="0"/>
  </r>
  <r>
    <x v="60"/>
    <x v="3"/>
    <x v="1"/>
    <n v="88"/>
    <n v="1.3656923080000001"/>
    <n v="89"/>
    <n v="355.08"/>
    <x v="4"/>
    <n v="88.5"/>
    <x v="1"/>
  </r>
  <r>
    <x v="61"/>
    <x v="1"/>
    <x v="0"/>
    <n v="57"/>
    <n v="1.34"/>
    <n v="71"/>
    <n v="20.100000000000001"/>
    <x v="4"/>
    <n v="64"/>
    <x v="0"/>
  </r>
  <r>
    <x v="62"/>
    <x v="1"/>
    <x v="6"/>
    <n v="56"/>
    <n v="1.3140624999999999"/>
    <n v="53"/>
    <n v="42.05"/>
    <x v="4"/>
    <n v="54.5"/>
    <x v="0"/>
  </r>
  <r>
    <x v="63"/>
    <x v="5"/>
    <x v="9"/>
    <n v="45"/>
    <n v="1.245333333"/>
    <n v="11"/>
    <n v="93.4"/>
    <x v="4"/>
    <n v="28"/>
    <x v="2"/>
  </r>
  <r>
    <x v="64"/>
    <x v="1"/>
    <x v="0"/>
    <n v="35"/>
    <n v="1.211818182"/>
    <n v="43"/>
    <n v="26.66"/>
    <x v="4"/>
    <n v="39"/>
    <x v="2"/>
  </r>
  <r>
    <x v="65"/>
    <x v="1"/>
    <x v="12"/>
    <n v="52"/>
    <n v="1.0900000000000001"/>
    <n v="68"/>
    <n v="19.62"/>
    <x v="4"/>
    <n v="60"/>
    <x v="0"/>
  </r>
  <r>
    <x v="66"/>
    <x v="0"/>
    <x v="12"/>
    <n v="84"/>
    <n v="0.82579999999999998"/>
    <n v="83"/>
    <n v="8.2579999999999991"/>
    <x v="3"/>
    <n v="83.5"/>
    <x v="1"/>
  </r>
  <r>
    <x v="67"/>
    <x v="2"/>
    <x v="0"/>
    <n v="84"/>
    <n v="0.65260317800000001"/>
    <n v="54"/>
    <n v="29.367142999999999"/>
    <x v="2"/>
    <n v="69"/>
    <x v="0"/>
  </r>
  <r>
    <x v="68"/>
    <x v="0"/>
    <x v="0"/>
    <n v="89"/>
    <n v="0.44864474999999998"/>
    <n v="79"/>
    <n v="8.9728949999999994"/>
    <x v="3"/>
    <n v="84"/>
    <x v="1"/>
  </r>
  <r>
    <x v="69"/>
    <x v="1"/>
    <x v="0"/>
    <n v="70"/>
    <n v="0.25289489999999998"/>
    <n v="78"/>
    <n v="15.173693999999999"/>
    <x v="0"/>
    <n v="74"/>
    <x v="0"/>
  </r>
  <r>
    <x v="70"/>
    <x v="2"/>
    <x v="0"/>
    <n v="53"/>
    <n v="5.0000000000000001E-3"/>
    <n v="6"/>
    <n v="2.5000000000000001E-2"/>
    <x v="3"/>
    <n v="29.5"/>
    <x v="2"/>
  </r>
  <r>
    <x v="71"/>
    <x v="2"/>
    <x v="3"/>
    <n v="77"/>
    <m/>
    <n v="85"/>
    <n v="30.146999999999998"/>
    <x v="3"/>
    <n v="81"/>
    <x v="1"/>
  </r>
  <r>
    <x v="72"/>
    <x v="1"/>
    <x v="0"/>
    <n v="49"/>
    <m/>
    <n v="14"/>
    <n v="21.37"/>
    <x v="4"/>
    <n v="31.5"/>
    <x v="2"/>
  </r>
  <r>
    <x v="73"/>
    <x v="1"/>
    <x v="1"/>
    <n v="44"/>
    <m/>
    <n v="15"/>
    <n v="43.04"/>
    <x v="4"/>
    <n v="29.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9BD43A-1C7E-4528-A919-C3766335D4C2}" name="PivotTable2"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26:H37" firstHeaderRow="1" firstDataRow="1" firstDataCol="1"/>
  <pivotFields count="10">
    <pivotField axis="axisRow" showAll="0" measureFilter="1" sortType="ascending">
      <items count="75">
        <item x="7"/>
        <item x="16"/>
        <item x="68"/>
        <item x="20"/>
        <item x="67"/>
        <item x="19"/>
        <item x="18"/>
        <item x="22"/>
        <item x="0"/>
        <item x="47"/>
        <item x="46"/>
        <item x="15"/>
        <item x="62"/>
        <item x="41"/>
        <item x="10"/>
        <item x="1"/>
        <item x="61"/>
        <item x="35"/>
        <item x="71"/>
        <item x="52"/>
        <item x="63"/>
        <item x="11"/>
        <item x="57"/>
        <item x="36"/>
        <item x="50"/>
        <item x="39"/>
        <item x="51"/>
        <item x="48"/>
        <item x="34"/>
        <item x="5"/>
        <item x="23"/>
        <item x="6"/>
        <item x="69"/>
        <item x="49"/>
        <item x="26"/>
        <item x="66"/>
        <item x="38"/>
        <item x="28"/>
        <item x="29"/>
        <item x="43"/>
        <item x="25"/>
        <item x="72"/>
        <item x="45"/>
        <item x="17"/>
        <item x="59"/>
        <item x="58"/>
        <item x="27"/>
        <item x="9"/>
        <item x="33"/>
        <item x="40"/>
        <item x="56"/>
        <item x="60"/>
        <item x="42"/>
        <item x="53"/>
        <item x="30"/>
        <item x="44"/>
        <item x="54"/>
        <item x="8"/>
        <item x="37"/>
        <item x="2"/>
        <item x="14"/>
        <item x="4"/>
        <item x="12"/>
        <item x="24"/>
        <item x="21"/>
        <item x="70"/>
        <item x="3"/>
        <item x="32"/>
        <item x="31"/>
        <item x="13"/>
        <item x="73"/>
        <item x="64"/>
        <item x="65"/>
        <item x="55"/>
        <item t="default"/>
      </items>
      <autoSortScope>
        <pivotArea dataOnly="0" outline="0" fieldPosition="0">
          <references count="1">
            <reference field="4294967294" count="1" selected="0">
              <x v="0"/>
            </reference>
          </references>
        </pivotArea>
      </autoSortScope>
    </pivotField>
    <pivotField showAll="0">
      <items count="7">
        <item x="5"/>
        <item x="3"/>
        <item x="1"/>
        <item x="0"/>
        <item x="4"/>
        <item x="2"/>
        <item t="default"/>
      </items>
    </pivotField>
    <pivotField showAll="0">
      <items count="14">
        <item x="8"/>
        <item x="10"/>
        <item x="1"/>
        <item x="5"/>
        <item x="0"/>
        <item x="9"/>
        <item x="11"/>
        <item x="7"/>
        <item x="4"/>
        <item x="2"/>
        <item x="12"/>
        <item x="3"/>
        <item x="6"/>
        <item t="default"/>
      </items>
    </pivotField>
    <pivotField showAll="0"/>
    <pivotField showAll="0"/>
    <pivotField showAll="0"/>
    <pivotField dataField="1" showAll="0"/>
    <pivotField showAll="0">
      <items count="6">
        <item x="2"/>
        <item x="0"/>
        <item x="1"/>
        <item x="4"/>
        <item x="3"/>
        <item t="default"/>
      </items>
    </pivotField>
    <pivotField showAll="0"/>
    <pivotField showAll="0">
      <items count="4">
        <item x="1"/>
        <item x="2"/>
        <item x="0"/>
        <item t="default"/>
      </items>
    </pivotField>
  </pivotFields>
  <rowFields count="1">
    <field x="0"/>
  </rowFields>
  <rowItems count="11">
    <i>
      <x v="48"/>
    </i>
    <i>
      <x v="57"/>
    </i>
    <i>
      <x v="7"/>
    </i>
    <i>
      <x v="51"/>
    </i>
    <i>
      <x v="61"/>
    </i>
    <i>
      <x v="47"/>
    </i>
    <i>
      <x v="67"/>
    </i>
    <i>
      <x v="29"/>
    </i>
    <i>
      <x v="62"/>
    </i>
    <i>
      <x v="59"/>
    </i>
    <i t="grand">
      <x/>
    </i>
  </rowItems>
  <colItems count="1">
    <i/>
  </colItems>
  <dataFields count="1">
    <dataField name="Sum of Worldwide Gross($M)" fld="6" baseField="0" baseItem="0" numFmtId="169"/>
  </dataFields>
  <formats count="3">
    <format dxfId="187">
      <pivotArea collapsedLevelsAreSubtotals="1" fieldPosition="0">
        <references count="1">
          <reference field="0" count="1">
            <x v="29"/>
          </reference>
        </references>
      </pivotArea>
    </format>
    <format dxfId="188">
      <pivotArea outline="0" collapsedLevelsAreSubtotals="1" fieldPosition="0"/>
    </format>
    <format dxfId="189">
      <pivotArea outline="0" fieldPosition="0">
        <references count="1">
          <reference field="4294967294" count="1">
            <x v="0"/>
          </reference>
        </references>
      </pivotArea>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538B46-7F88-4492-9EE7-9E15672769DF}" name="PivotTable1"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0" firstHeaderRow="1" firstDataRow="1" firstDataCol="1"/>
  <pivotFields count="10">
    <pivotField showAll="0"/>
    <pivotField axis="axisRow" showAll="0">
      <items count="7">
        <item x="5"/>
        <item x="3"/>
        <item x="1"/>
        <item x="0"/>
        <item x="4"/>
        <item x="2"/>
        <item t="default"/>
      </items>
    </pivotField>
    <pivotField showAll="0">
      <items count="14">
        <item x="8"/>
        <item x="10"/>
        <item x="1"/>
        <item x="5"/>
        <item x="0"/>
        <item x="9"/>
        <item x="11"/>
        <item x="7"/>
        <item x="4"/>
        <item x="2"/>
        <item x="12"/>
        <item x="3"/>
        <item x="6"/>
        <item t="default"/>
      </items>
    </pivotField>
    <pivotField showAll="0"/>
    <pivotField showAll="0"/>
    <pivotField showAll="0"/>
    <pivotField dataField="1" showAll="0"/>
    <pivotField showAll="0">
      <items count="6">
        <item x="2"/>
        <item x="0"/>
        <item x="1"/>
        <item x="4"/>
        <item x="3"/>
        <item t="default"/>
      </items>
    </pivotField>
    <pivotField showAll="0"/>
    <pivotField showAll="0">
      <items count="4">
        <item x="1"/>
        <item x="2"/>
        <item x="0"/>
        <item t="default"/>
      </items>
    </pivotField>
  </pivotFields>
  <rowFields count="1">
    <field x="1"/>
  </rowFields>
  <rowItems count="7">
    <i>
      <x/>
    </i>
    <i>
      <x v="1"/>
    </i>
    <i>
      <x v="2"/>
    </i>
    <i>
      <x v="3"/>
    </i>
    <i>
      <x v="4"/>
    </i>
    <i>
      <x v="5"/>
    </i>
    <i t="grand">
      <x/>
    </i>
  </rowItems>
  <colItems count="1">
    <i/>
  </colItems>
  <dataFields count="1">
    <dataField name="Sum of Worldwide Gross($M)" fld="6" baseField="1" baseItem="1" numFmtId="169"/>
  </dataFields>
  <formats count="2">
    <format dxfId="216">
      <pivotArea outline="0" collapsedLevelsAreSubtotals="1" fieldPosition="0"/>
    </format>
    <format dxfId="174">
      <pivotArea outline="0" fieldPosition="0">
        <references count="1">
          <reference field="4294967294" count="1">
            <x v="0"/>
          </reference>
        </references>
      </pivotArea>
    </format>
  </formats>
  <chartFormats count="1">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82481A-0A18-42C4-8B0B-125CA6C16EA3}" name="PivotTable12"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E49:F124" firstHeaderRow="1" firstDataRow="1" firstDataCol="1"/>
  <pivotFields count="10">
    <pivotField axis="axisRow" showAll="0" sortType="descending">
      <items count="75">
        <item x="7"/>
        <item x="16"/>
        <item x="68"/>
        <item x="20"/>
        <item x="67"/>
        <item x="19"/>
        <item x="18"/>
        <item x="22"/>
        <item x="0"/>
        <item x="47"/>
        <item x="46"/>
        <item x="15"/>
        <item x="62"/>
        <item x="41"/>
        <item x="10"/>
        <item x="1"/>
        <item x="61"/>
        <item x="35"/>
        <item x="71"/>
        <item x="52"/>
        <item x="63"/>
        <item x="11"/>
        <item x="57"/>
        <item x="36"/>
        <item x="50"/>
        <item x="39"/>
        <item x="51"/>
        <item x="48"/>
        <item x="34"/>
        <item x="5"/>
        <item x="23"/>
        <item x="6"/>
        <item x="69"/>
        <item x="49"/>
        <item x="26"/>
        <item x="66"/>
        <item x="38"/>
        <item x="28"/>
        <item x="29"/>
        <item x="43"/>
        <item x="25"/>
        <item x="72"/>
        <item x="45"/>
        <item x="17"/>
        <item x="59"/>
        <item x="58"/>
        <item x="27"/>
        <item x="9"/>
        <item x="33"/>
        <item x="40"/>
        <item x="56"/>
        <item x="60"/>
        <item x="42"/>
        <item x="53"/>
        <item x="30"/>
        <item x="44"/>
        <item x="54"/>
        <item x="8"/>
        <item x="37"/>
        <item x="2"/>
        <item x="14"/>
        <item x="4"/>
        <item x="12"/>
        <item x="24"/>
        <item x="21"/>
        <item x="70"/>
        <item x="3"/>
        <item x="32"/>
        <item x="31"/>
        <item x="13"/>
        <item x="73"/>
        <item x="64"/>
        <item x="65"/>
        <item x="55"/>
        <item t="default"/>
      </items>
      <autoSortScope>
        <pivotArea dataOnly="0" outline="0" fieldPosition="0">
          <references count="1">
            <reference field="4294967294" count="1" selected="0">
              <x v="0"/>
            </reference>
          </references>
        </pivotArea>
      </autoSortScope>
    </pivotField>
    <pivotField showAll="0">
      <items count="7">
        <item x="5"/>
        <item x="3"/>
        <item x="1"/>
        <item x="0"/>
        <item x="4"/>
        <item x="2"/>
        <item t="default"/>
      </items>
    </pivotField>
    <pivotField showAll="0">
      <items count="14">
        <item x="8"/>
        <item x="10"/>
        <item x="1"/>
        <item x="5"/>
        <item x="0"/>
        <item x="9"/>
        <item x="11"/>
        <item x="7"/>
        <item x="4"/>
        <item x="2"/>
        <item x="12"/>
        <item x="3"/>
        <item x="6"/>
        <item t="default"/>
      </items>
    </pivotField>
    <pivotField showAll="0"/>
    <pivotField dataField="1" showAll="0"/>
    <pivotField showAll="0"/>
    <pivotField showAll="0"/>
    <pivotField showAll="0">
      <items count="6">
        <item x="2"/>
        <item x="0"/>
        <item x="1"/>
        <item x="4"/>
        <item x="3"/>
        <item t="default"/>
      </items>
    </pivotField>
    <pivotField showAll="0"/>
    <pivotField showAll="0">
      <items count="4">
        <item x="1"/>
        <item x="2"/>
        <item x="0"/>
        <item t="default"/>
      </items>
    </pivotField>
  </pivotFields>
  <rowFields count="1">
    <field x="0"/>
  </rowFields>
  <rowItems count="75">
    <i>
      <x v="8"/>
    </i>
    <i>
      <x v="15"/>
    </i>
    <i>
      <x v="59"/>
    </i>
    <i>
      <x v="66"/>
    </i>
    <i>
      <x v="61"/>
    </i>
    <i>
      <x v="29"/>
    </i>
    <i>
      <x v="31"/>
    </i>
    <i>
      <x/>
    </i>
    <i>
      <x v="57"/>
    </i>
    <i>
      <x v="47"/>
    </i>
    <i>
      <x v="14"/>
    </i>
    <i>
      <x v="21"/>
    </i>
    <i>
      <x v="62"/>
    </i>
    <i>
      <x v="69"/>
    </i>
    <i>
      <x v="60"/>
    </i>
    <i>
      <x v="11"/>
    </i>
    <i>
      <x v="1"/>
    </i>
    <i>
      <x v="43"/>
    </i>
    <i>
      <x v="6"/>
    </i>
    <i>
      <x v="5"/>
    </i>
    <i>
      <x v="3"/>
    </i>
    <i>
      <x v="64"/>
    </i>
    <i>
      <x v="7"/>
    </i>
    <i>
      <x v="30"/>
    </i>
    <i>
      <x v="63"/>
    </i>
    <i>
      <x v="40"/>
    </i>
    <i>
      <x v="34"/>
    </i>
    <i>
      <x v="46"/>
    </i>
    <i>
      <x v="37"/>
    </i>
    <i>
      <x v="38"/>
    </i>
    <i>
      <x v="54"/>
    </i>
    <i>
      <x v="68"/>
    </i>
    <i>
      <x v="67"/>
    </i>
    <i>
      <x v="48"/>
    </i>
    <i>
      <x v="28"/>
    </i>
    <i>
      <x v="17"/>
    </i>
    <i>
      <x v="23"/>
    </i>
    <i>
      <x v="58"/>
    </i>
    <i>
      <x v="36"/>
    </i>
    <i>
      <x v="25"/>
    </i>
    <i>
      <x v="49"/>
    </i>
    <i>
      <x v="13"/>
    </i>
    <i>
      <x v="52"/>
    </i>
    <i>
      <x v="39"/>
    </i>
    <i>
      <x v="55"/>
    </i>
    <i>
      <x v="42"/>
    </i>
    <i>
      <x v="10"/>
    </i>
    <i>
      <x v="9"/>
    </i>
    <i>
      <x v="27"/>
    </i>
    <i>
      <x v="33"/>
    </i>
    <i>
      <x v="24"/>
    </i>
    <i>
      <x v="26"/>
    </i>
    <i>
      <x v="19"/>
    </i>
    <i>
      <x v="53"/>
    </i>
    <i>
      <x v="56"/>
    </i>
    <i>
      <x v="73"/>
    </i>
    <i>
      <x v="50"/>
    </i>
    <i>
      <x v="22"/>
    </i>
    <i>
      <x v="45"/>
    </i>
    <i>
      <x v="44"/>
    </i>
    <i>
      <x v="51"/>
    </i>
    <i>
      <x v="16"/>
    </i>
    <i>
      <x v="12"/>
    </i>
    <i>
      <x v="20"/>
    </i>
    <i>
      <x v="71"/>
    </i>
    <i>
      <x v="72"/>
    </i>
    <i>
      <x v="35"/>
    </i>
    <i>
      <x v="4"/>
    </i>
    <i>
      <x v="2"/>
    </i>
    <i>
      <x v="32"/>
    </i>
    <i>
      <x v="65"/>
    </i>
    <i>
      <x v="18"/>
    </i>
    <i>
      <x v="41"/>
    </i>
    <i>
      <x v="70"/>
    </i>
    <i t="grand">
      <x/>
    </i>
  </rowItems>
  <colItems count="1">
    <i/>
  </colItems>
  <dataFields count="1">
    <dataField name="Sum of Profitability" fld="4" baseField="0" baseItem="18" numFmtId="2"/>
  </dataFields>
  <formats count="1">
    <format dxfId="215">
      <pivotArea outline="0" collapsedLevelsAreSubtotals="1" fieldPosition="0"/>
    </format>
  </formats>
  <chartFormats count="6">
    <chartFormat chart="34"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CFC007-A10D-45DE-929D-BE5CC2D07F95}" name="PivotTable11"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B124" firstHeaderRow="1" firstDataRow="1" firstDataCol="1"/>
  <pivotFields count="10">
    <pivotField axis="axisRow" showAll="0">
      <items count="75">
        <item x="7"/>
        <item x="16"/>
        <item x="68"/>
        <item x="20"/>
        <item x="67"/>
        <item x="19"/>
        <item x="18"/>
        <item x="22"/>
        <item x="0"/>
        <item x="47"/>
        <item x="46"/>
        <item x="15"/>
        <item x="62"/>
        <item x="41"/>
        <item x="10"/>
        <item x="1"/>
        <item x="61"/>
        <item x="35"/>
        <item x="71"/>
        <item x="52"/>
        <item x="63"/>
        <item x="11"/>
        <item x="57"/>
        <item x="36"/>
        <item x="50"/>
        <item x="39"/>
        <item x="51"/>
        <item x="48"/>
        <item x="34"/>
        <item x="5"/>
        <item x="23"/>
        <item x="6"/>
        <item x="69"/>
        <item x="49"/>
        <item x="26"/>
        <item x="66"/>
        <item x="38"/>
        <item x="28"/>
        <item x="29"/>
        <item x="43"/>
        <item x="25"/>
        <item x="72"/>
        <item x="45"/>
        <item x="17"/>
        <item x="59"/>
        <item x="58"/>
        <item x="27"/>
        <item x="9"/>
        <item x="33"/>
        <item x="40"/>
        <item x="56"/>
        <item x="60"/>
        <item x="42"/>
        <item x="53"/>
        <item x="30"/>
        <item x="44"/>
        <item x="54"/>
        <item x="8"/>
        <item x="37"/>
        <item x="2"/>
        <item x="14"/>
        <item x="4"/>
        <item x="12"/>
        <item x="24"/>
        <item x="21"/>
        <item x="70"/>
        <item x="3"/>
        <item x="32"/>
        <item x="31"/>
        <item x="13"/>
        <item x="73"/>
        <item x="64"/>
        <item x="65"/>
        <item x="55"/>
        <item t="default"/>
      </items>
    </pivotField>
    <pivotField showAll="0">
      <items count="7">
        <item x="5"/>
        <item x="3"/>
        <item x="1"/>
        <item x="0"/>
        <item x="4"/>
        <item x="2"/>
        <item t="default"/>
      </items>
    </pivotField>
    <pivotField showAll="0">
      <items count="14">
        <item x="8"/>
        <item x="10"/>
        <item x="1"/>
        <item x="5"/>
        <item x="0"/>
        <item x="9"/>
        <item x="11"/>
        <item x="7"/>
        <item x="4"/>
        <item x="2"/>
        <item x="12"/>
        <item x="3"/>
        <item x="6"/>
        <item t="default"/>
      </items>
    </pivotField>
    <pivotField showAll="0"/>
    <pivotField showAll="0"/>
    <pivotField showAll="0"/>
    <pivotField dataField="1" showAll="0"/>
    <pivotField showAll="0">
      <items count="6">
        <item x="2"/>
        <item x="0"/>
        <item x="1"/>
        <item x="4"/>
        <item x="3"/>
        <item t="default"/>
      </items>
    </pivotField>
    <pivotField showAll="0"/>
    <pivotField showAll="0">
      <items count="4">
        <item x="1"/>
        <item x="2"/>
        <item x="0"/>
        <item t="default"/>
      </items>
    </pivotField>
  </pivotFields>
  <rowFields count="1">
    <field x="0"/>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Sum of Worldwide Gross($M)" fld="6" baseField="0" baseItem="1" numFmtId="169"/>
  </dataFields>
  <formats count="3">
    <format dxfId="213">
      <pivotArea outline="0" collapsedLevelsAreSubtotals="1" fieldPosition="0"/>
    </format>
    <format dxfId="214">
      <pivotArea outline="0" collapsedLevelsAreSubtotals="1" fieldPosition="0"/>
    </format>
    <format dxfId="16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FFCFC2-5C82-4228-B308-39CE0CF887B7}" name="PivotTable10"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5:B46" firstHeaderRow="1" firstDataRow="1" firstDataCol="1"/>
  <pivotFields count="10">
    <pivotField axis="axisRow" showAll="0" measureFilter="1" sortType="ascending">
      <items count="75">
        <item x="7"/>
        <item x="16"/>
        <item x="68"/>
        <item x="20"/>
        <item x="67"/>
        <item x="19"/>
        <item x="18"/>
        <item x="22"/>
        <item x="0"/>
        <item x="47"/>
        <item x="46"/>
        <item x="15"/>
        <item x="62"/>
        <item x="41"/>
        <item x="10"/>
        <item x="1"/>
        <item x="61"/>
        <item x="35"/>
        <item x="71"/>
        <item x="52"/>
        <item x="63"/>
        <item x="11"/>
        <item x="57"/>
        <item x="36"/>
        <item x="50"/>
        <item x="39"/>
        <item x="51"/>
        <item x="48"/>
        <item x="34"/>
        <item x="5"/>
        <item x="23"/>
        <item x="6"/>
        <item x="69"/>
        <item x="49"/>
        <item x="26"/>
        <item x="66"/>
        <item x="38"/>
        <item x="28"/>
        <item x="29"/>
        <item x="43"/>
        <item x="25"/>
        <item x="72"/>
        <item x="45"/>
        <item x="17"/>
        <item x="59"/>
        <item x="58"/>
        <item x="27"/>
        <item x="9"/>
        <item x="33"/>
        <item x="40"/>
        <item x="56"/>
        <item x="60"/>
        <item x="42"/>
        <item x="53"/>
        <item x="30"/>
        <item x="44"/>
        <item x="54"/>
        <item x="8"/>
        <item x="37"/>
        <item x="2"/>
        <item x="14"/>
        <item x="4"/>
        <item x="12"/>
        <item x="24"/>
        <item x="21"/>
        <item x="70"/>
        <item x="3"/>
        <item x="32"/>
        <item x="31"/>
        <item x="13"/>
        <item x="73"/>
        <item x="64"/>
        <item x="65"/>
        <item x="55"/>
        <item t="default"/>
      </items>
      <autoSortScope>
        <pivotArea dataOnly="0" outline="0" fieldPosition="0">
          <references count="1">
            <reference field="4294967294" count="1" selected="0">
              <x v="0"/>
            </reference>
          </references>
        </pivotArea>
      </autoSortScope>
    </pivotField>
    <pivotField showAll="0">
      <items count="7">
        <item x="5"/>
        <item x="3"/>
        <item x="1"/>
        <item x="0"/>
        <item x="4"/>
        <item x="2"/>
        <item t="default"/>
      </items>
    </pivotField>
    <pivotField showAll="0">
      <items count="14">
        <item x="8"/>
        <item x="10"/>
        <item x="1"/>
        <item x="5"/>
        <item x="0"/>
        <item x="9"/>
        <item x="11"/>
        <item x="7"/>
        <item x="4"/>
        <item x="2"/>
        <item x="12"/>
        <item x="3"/>
        <item x="6"/>
        <item t="default"/>
      </items>
    </pivotField>
    <pivotField showAll="0"/>
    <pivotField dataField="1" showAll="0"/>
    <pivotField showAll="0"/>
    <pivotField showAll="0"/>
    <pivotField showAll="0">
      <items count="6">
        <item x="2"/>
        <item x="0"/>
        <item x="1"/>
        <item x="4"/>
        <item x="3"/>
        <item t="default"/>
      </items>
    </pivotField>
    <pivotField showAll="0"/>
    <pivotField showAll="0">
      <items count="4">
        <item x="1"/>
        <item x="2"/>
        <item x="0"/>
        <item t="default"/>
      </items>
    </pivotField>
  </pivotFields>
  <rowFields count="1">
    <field x="0"/>
  </rowFields>
  <rowItems count="11">
    <i>
      <x v="47"/>
    </i>
    <i>
      <x v="57"/>
    </i>
    <i>
      <x/>
    </i>
    <i>
      <x v="31"/>
    </i>
    <i>
      <x v="29"/>
    </i>
    <i>
      <x v="61"/>
    </i>
    <i>
      <x v="66"/>
    </i>
    <i>
      <x v="59"/>
    </i>
    <i>
      <x v="15"/>
    </i>
    <i>
      <x v="8"/>
    </i>
    <i t="grand">
      <x/>
    </i>
  </rowItems>
  <colItems count="1">
    <i/>
  </colItems>
  <dataFields count="1">
    <dataField name="Average of Profitability" fld="4" subtotal="average" baseField="7" baseItem="2" numFmtId="2"/>
  </dataFields>
  <formats count="1">
    <format dxfId="212">
      <pivotArea outline="0" collapsedLevelsAreSubtotals="1" fieldPosition="0"/>
    </format>
  </formats>
  <chartFormats count="5">
    <chartFormat chart="34"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C96FB9-5B51-43BB-9439-4957BE1EB5C4}" name="PivotTable16"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D35:E42" firstHeaderRow="1" firstDataRow="1" firstDataCol="1"/>
  <pivotFields count="10">
    <pivotField showAll="0"/>
    <pivotField axis="axisRow" showAll="0">
      <items count="7">
        <item x="5"/>
        <item x="3"/>
        <item x="1"/>
        <item x="0"/>
        <item x="4"/>
        <item x="2"/>
        <item t="default"/>
      </items>
    </pivotField>
    <pivotField showAll="0">
      <items count="14">
        <item x="8"/>
        <item x="10"/>
        <item x="1"/>
        <item x="5"/>
        <item x="0"/>
        <item x="9"/>
        <item x="11"/>
        <item x="7"/>
        <item x="4"/>
        <item x="2"/>
        <item x="12"/>
        <item x="3"/>
        <item x="6"/>
        <item t="default"/>
      </items>
    </pivotField>
    <pivotField showAll="0"/>
    <pivotField dataField="1" showAll="0"/>
    <pivotField showAll="0"/>
    <pivotField showAll="0"/>
    <pivotField showAll="0">
      <items count="6">
        <item x="2"/>
        <item x="0"/>
        <item x="1"/>
        <item x="4"/>
        <item x="3"/>
        <item t="default"/>
      </items>
    </pivotField>
    <pivotField showAll="0"/>
    <pivotField showAll="0">
      <items count="4">
        <item x="1"/>
        <item x="2"/>
        <item x="0"/>
        <item t="default"/>
      </items>
    </pivotField>
  </pivotFields>
  <rowFields count="1">
    <field x="1"/>
  </rowFields>
  <rowItems count="7">
    <i>
      <x/>
    </i>
    <i>
      <x v="1"/>
    </i>
    <i>
      <x v="2"/>
    </i>
    <i>
      <x v="3"/>
    </i>
    <i>
      <x v="4"/>
    </i>
    <i>
      <x v="5"/>
    </i>
    <i t="grand">
      <x/>
    </i>
  </rowItems>
  <colItems count="1">
    <i/>
  </colItems>
  <dataFields count="1">
    <dataField name="Average of Profitability" fld="4" subtotal="average" baseField="7" baseItem="0" numFmtId="2"/>
  </dataFields>
  <formats count="1">
    <format dxfId="211">
      <pivotArea outline="0" collapsedLevelsAreSubtotals="1" fieldPosition="0"/>
    </format>
  </formats>
  <chartFormats count="10">
    <chartFormat chart="46"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61" format="8" series="1">
      <pivotArea type="data" outline="0" fieldPosition="0">
        <references count="1">
          <reference field="4294967294" count="1" selected="0">
            <x v="0"/>
          </reference>
        </references>
      </pivotArea>
    </chartFormat>
    <chartFormat chart="61" format="9">
      <pivotArea type="data" outline="0" fieldPosition="0">
        <references count="2">
          <reference field="4294967294" count="1" selected="0">
            <x v="0"/>
          </reference>
          <reference field="1" count="1" selected="0">
            <x v="0"/>
          </reference>
        </references>
      </pivotArea>
    </chartFormat>
    <chartFormat chart="61" format="10">
      <pivotArea type="data" outline="0" fieldPosition="0">
        <references count="2">
          <reference field="4294967294" count="1" selected="0">
            <x v="0"/>
          </reference>
          <reference field="1" count="1" selected="0">
            <x v="1"/>
          </reference>
        </references>
      </pivotArea>
    </chartFormat>
    <chartFormat chart="61" format="11">
      <pivotArea type="data" outline="0" fieldPosition="0">
        <references count="2">
          <reference field="4294967294" count="1" selected="0">
            <x v="0"/>
          </reference>
          <reference field="1" count="1" selected="0">
            <x v="2"/>
          </reference>
        </references>
      </pivotArea>
    </chartFormat>
    <chartFormat chart="61" format="12">
      <pivotArea type="data" outline="0" fieldPosition="0">
        <references count="2">
          <reference field="4294967294" count="1" selected="0">
            <x v="0"/>
          </reference>
          <reference field="1" count="1" selected="0">
            <x v="3"/>
          </reference>
        </references>
      </pivotArea>
    </chartFormat>
    <chartFormat chart="61" format="13">
      <pivotArea type="data" outline="0" fieldPosition="0">
        <references count="2">
          <reference field="4294967294" count="1" selected="0">
            <x v="0"/>
          </reference>
          <reference field="1" count="1" selected="0">
            <x v="4"/>
          </reference>
        </references>
      </pivotArea>
    </chartFormat>
    <chartFormat chart="61"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10C145-7C64-4DE3-9DAC-420270FE9135}" name="PivotTable15"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17" firstHeaderRow="1" firstDataRow="1" firstDataCol="1"/>
  <pivotFields count="10">
    <pivotField showAll="0"/>
    <pivotField showAll="0">
      <items count="7">
        <item x="5"/>
        <item x="3"/>
        <item x="1"/>
        <item x="0"/>
        <item x="4"/>
        <item x="2"/>
        <item t="default"/>
      </items>
    </pivotField>
    <pivotField axis="axisRow" showAll="0">
      <items count="14">
        <item x="8"/>
        <item x="10"/>
        <item x="1"/>
        <item x="5"/>
        <item x="0"/>
        <item x="9"/>
        <item x="11"/>
        <item x="7"/>
        <item x="4"/>
        <item x="2"/>
        <item x="12"/>
        <item x="3"/>
        <item x="6"/>
        <item t="default"/>
      </items>
    </pivotField>
    <pivotField showAll="0"/>
    <pivotField showAll="0"/>
    <pivotField showAll="0"/>
    <pivotField dataField="1" showAll="0"/>
    <pivotField showAll="0">
      <items count="6">
        <item x="2"/>
        <item x="0"/>
        <item x="1"/>
        <item x="4"/>
        <item x="3"/>
        <item t="default"/>
      </items>
    </pivotField>
    <pivotField showAll="0"/>
    <pivotField showAll="0">
      <items count="4">
        <item x="1"/>
        <item x="2"/>
        <item x="0"/>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Sum of Worldwide Gross($M)" fld="6" baseField="2" baseItem="0" numFmtId="169"/>
  </dataFields>
  <formats count="2">
    <format dxfId="210">
      <pivotArea outline="0" collapsedLevelsAreSubtotals="1" fieldPosition="0"/>
    </format>
    <format dxfId="17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2B6AF8-704C-4AF9-AF3E-D186092DA91C}" name="PivotTable7"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26:B32" firstHeaderRow="1" firstDataRow="1" firstDataCol="1"/>
  <pivotFields count="10">
    <pivotField showAll="0"/>
    <pivotField showAll="0">
      <items count="7">
        <item x="5"/>
        <item x="3"/>
        <item x="1"/>
        <item x="0"/>
        <item x="4"/>
        <item x="2"/>
        <item t="default"/>
      </items>
    </pivotField>
    <pivotField showAll="0">
      <items count="14">
        <item x="8"/>
        <item x="10"/>
        <item x="1"/>
        <item x="5"/>
        <item x="0"/>
        <item x="9"/>
        <item x="11"/>
        <item x="7"/>
        <item x="4"/>
        <item x="2"/>
        <item x="12"/>
        <item x="3"/>
        <item x="6"/>
        <item t="default"/>
      </items>
    </pivotField>
    <pivotField showAll="0"/>
    <pivotField showAll="0"/>
    <pivotField showAll="0"/>
    <pivotField dataField="1" showAll="0"/>
    <pivotField axis="axisRow" showAll="0">
      <items count="6">
        <item x="2"/>
        <item x="0"/>
        <item x="1"/>
        <item x="4"/>
        <item x="3"/>
        <item t="default"/>
      </items>
    </pivotField>
    <pivotField showAll="0"/>
    <pivotField showAll="0">
      <items count="4">
        <item x="1"/>
        <item x="2"/>
        <item x="0"/>
        <item t="default"/>
      </items>
    </pivotField>
  </pivotFields>
  <rowFields count="1">
    <field x="7"/>
  </rowFields>
  <rowItems count="6">
    <i>
      <x/>
    </i>
    <i>
      <x v="1"/>
    </i>
    <i>
      <x v="2"/>
    </i>
    <i>
      <x v="3"/>
    </i>
    <i>
      <x v="4"/>
    </i>
    <i t="grand">
      <x/>
    </i>
  </rowItems>
  <colItems count="1">
    <i/>
  </colItems>
  <dataFields count="1">
    <dataField name="Sum of Worldwide Gross($M)" fld="6" baseField="7" baseItem="1" numFmtId="169"/>
  </dataFields>
  <formats count="2">
    <format dxfId="209">
      <pivotArea outline="0" collapsedLevelsAreSubtotals="1" fieldPosition="0"/>
    </format>
    <format dxfId="178">
      <pivotArea outline="0" fieldPosition="0">
        <references count="1">
          <reference field="4294967294" count="1">
            <x v="0"/>
          </reference>
        </references>
      </pivotArea>
    </format>
  </formats>
  <chartFormats count="1">
    <chartFormat chart="3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EF6DDD-8B21-4F55-A982-43B2DB6A26B6}" name="PivotTable14"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D26:E32" firstHeaderRow="1" firstDataRow="1" firstDataCol="1"/>
  <pivotFields count="10">
    <pivotField showAll="0"/>
    <pivotField showAll="0">
      <items count="7">
        <item x="5"/>
        <item x="3"/>
        <item x="1"/>
        <item x="0"/>
        <item x="4"/>
        <item x="2"/>
        <item t="default"/>
      </items>
    </pivotField>
    <pivotField showAll="0">
      <items count="14">
        <item x="8"/>
        <item x="10"/>
        <item x="1"/>
        <item x="5"/>
        <item x="0"/>
        <item x="9"/>
        <item x="11"/>
        <item x="7"/>
        <item x="4"/>
        <item x="2"/>
        <item x="12"/>
        <item x="3"/>
        <item x="6"/>
        <item t="default"/>
      </items>
    </pivotField>
    <pivotField showAll="0"/>
    <pivotField dataField="1" showAll="0"/>
    <pivotField showAll="0"/>
    <pivotField showAll="0"/>
    <pivotField axis="axisRow" showAll="0">
      <items count="6">
        <item x="2"/>
        <item x="0"/>
        <item x="1"/>
        <item x="4"/>
        <item x="3"/>
        <item t="default"/>
      </items>
    </pivotField>
    <pivotField showAll="0"/>
    <pivotField showAll="0">
      <items count="4">
        <item x="1"/>
        <item x="2"/>
        <item x="0"/>
        <item t="default"/>
      </items>
    </pivotField>
  </pivotFields>
  <rowFields count="1">
    <field x="7"/>
  </rowFields>
  <rowItems count="6">
    <i>
      <x/>
    </i>
    <i>
      <x v="1"/>
    </i>
    <i>
      <x v="2"/>
    </i>
    <i>
      <x v="3"/>
    </i>
    <i>
      <x v="4"/>
    </i>
    <i t="grand">
      <x/>
    </i>
  </rowItems>
  <colItems count="1">
    <i/>
  </colItems>
  <dataFields count="1">
    <dataField name="Average of Profitability" fld="4" subtotal="average" baseField="7" baseItem="0" numFmtId="2"/>
  </dataFields>
  <formats count="1">
    <format dxfId="208">
      <pivotArea outline="0" collapsedLevelsAreSubtotals="1" fieldPosition="0"/>
    </format>
  </formats>
  <chartFormats count="1">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C727DCB1-4EF6-4A75-B9B1-FC2292C523A6}" sourceName="Genre">
  <pivotTables>
    <pivotTable tabId="2" name="PivotTable7"/>
    <pivotTable tabId="2" name="PivotTable1"/>
    <pivotTable tabId="2" name="PivotTable10"/>
    <pivotTable tabId="2" name="PivotTable11"/>
    <pivotTable tabId="2" name="PivotTable2"/>
    <pivotTable tabId="2" name="PivotTable12"/>
    <pivotTable tabId="2" name="PivotTable14"/>
    <pivotTable tabId="2" name="PivotTable15"/>
    <pivotTable tabId="2" name="PivotTable16"/>
  </pivotTables>
  <data>
    <tabular pivotCacheId="1547857852">
      <items count="6">
        <i x="5" s="1"/>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tudio" xr10:uid="{D248A8BE-69ED-4BD3-AFF5-8211370420D1}" sourceName="Lead Studio">
  <pivotTables>
    <pivotTable tabId="2" name="PivotTable7"/>
    <pivotTable tabId="2" name="PivotTable1"/>
    <pivotTable tabId="2" name="PivotTable10"/>
    <pivotTable tabId="2" name="PivotTable11"/>
    <pivotTable tabId="2" name="PivotTable2"/>
    <pivotTable tabId="2" name="PivotTable12"/>
    <pivotTable tabId="2" name="PivotTable14"/>
    <pivotTable tabId="2" name="PivotTable15"/>
    <pivotTable tabId="2" name="PivotTable16"/>
  </pivotTables>
  <data>
    <tabular pivotCacheId="1547857852">
      <items count="13">
        <i x="8" s="1"/>
        <i x="10" s="1"/>
        <i x="1" s="1"/>
        <i x="5" s="1"/>
        <i x="0" s="1"/>
        <i x="9" s="1"/>
        <i x="11" s="1"/>
        <i x="7" s="1"/>
        <i x="4" s="1"/>
        <i x="2" s="1"/>
        <i x="12"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E6D7DF1-7495-4226-B8C8-D8E207AF0B2D}" sourceName="Year">
  <pivotTables>
    <pivotTable tabId="2" name="PivotTable7"/>
    <pivotTable tabId="2" name="PivotTable1"/>
    <pivotTable tabId="2" name="PivotTable10"/>
    <pivotTable tabId="2" name="PivotTable11"/>
    <pivotTable tabId="2" name="PivotTable2"/>
    <pivotTable tabId="2" name="PivotTable12"/>
    <pivotTable tabId="2" name="PivotTable14"/>
    <pivotTable tabId="2" name="PivotTable15"/>
    <pivotTable tabId="2" name="PivotTable16"/>
  </pivotTables>
  <data>
    <tabular pivotCacheId="1547857852">
      <items count="5">
        <i x="2" s="1"/>
        <i x="0"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Level" xr10:uid="{6C40B5AB-A0C1-447A-8741-7C310CCCFDEE}" sourceName="Rating Level">
  <pivotTables>
    <pivotTable tabId="2" name="PivotTable7"/>
    <pivotTable tabId="2" name="PivotTable1"/>
    <pivotTable tabId="2" name="PivotTable10"/>
    <pivotTable tabId="2" name="PivotTable11"/>
    <pivotTable tabId="2" name="PivotTable2"/>
    <pivotTable tabId="2" name="PivotTable12"/>
    <pivotTable tabId="2" name="PivotTable14"/>
    <pivotTable tabId="2" name="PivotTable15"/>
    <pivotTable tabId="2" name="PivotTable16"/>
  </pivotTables>
  <data>
    <tabular pivotCacheId="154785785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0D8BDA9-2FFA-4C36-9C35-F48319026081}" cache="Slicer_Genre" caption="Genre" columnCount="2" rowHeight="273050"/>
  <slicer name="Lead Studio" xr10:uid="{2BBD3A1F-5F91-4A3B-8F18-E9BE39275777}" cache="Slicer_Lead_Studio" caption="Lead Studio" rowHeight="273050"/>
  <slicer name="Year" xr10:uid="{1D664E4A-85DE-44D9-8E80-EE8A884E7508}" cache="Slicer_Year" caption="Year" columnCount="2" rowHeight="273050"/>
  <slicer name="Rating Level" xr10:uid="{3432C580-FE91-45D9-8251-D78B0ADA3A05}" cache="Slicer_Rating_Level" caption="Rating Level"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47B5C9-E09C-44C7-BA05-CE7A643D5A88}" name="Table1" displayName="Table1" ref="A1:J75" totalsRowShown="0">
  <autoFilter ref="A1:J75" xr:uid="{4C47B5C9-E09C-44C7-BA05-CE7A643D5A88}"/>
  <sortState xmlns:xlrd2="http://schemas.microsoft.com/office/spreadsheetml/2017/richdata2" ref="A2:J75">
    <sortCondition descending="1" ref="E1:E75"/>
  </sortState>
  <tableColumns count="10">
    <tableColumn id="1" xr3:uid="{E0CB316B-0973-4B83-8BDF-DC98ADA5673F}" name="Film"/>
    <tableColumn id="2" xr3:uid="{F7657D9F-0A60-4E4A-A87B-D8A817983503}" name="Genre"/>
    <tableColumn id="3" xr3:uid="{4BB7BC6E-3417-4872-848C-0300F80C7688}" name="Lead Studio"/>
    <tableColumn id="4" xr3:uid="{C962F4E7-F994-4E06-9C67-B3F9B778F52F}" name="Audience  score %"/>
    <tableColumn id="5" xr3:uid="{D636A15C-F702-4749-A9D4-304DFF23E6C6}" name="Profitability"/>
    <tableColumn id="6" xr3:uid="{8EAF23C7-2A06-4D3E-85D8-068C05E92791}" name="Rotten Tomatoes %"/>
    <tableColumn id="7" xr3:uid="{F3633C84-0170-4F69-955D-D9E079290AF0}" name="Worldwide Gross($M)"/>
    <tableColumn id="8" xr3:uid="{FDD3A7B5-16A3-4821-8C7E-9581399648D6}" name="Year"/>
    <tableColumn id="9" xr3:uid="{0FDED1A2-64C3-4741-98C2-BBDF12607A2B}" name="Combined Score" dataDxfId="248">
      <calculatedColumnFormula>(Table1[[#This Row],[Audience  score %]]+Table1[[#This Row],[Rotten Tomatoes %]])/2</calculatedColumnFormula>
    </tableColumn>
    <tableColumn id="10" xr3:uid="{B3A5B06A-87D9-465B-ADDF-C1F00620126C}" name="Rating Level" dataDxfId="247">
      <calculatedColumnFormula>IF(Table1[[#This Row],[Combined Score]]&gt;=75,"High",IF(Table1[[#This Row],[Combined Score]]&gt;40,"Medium","Low"))</calculatedColumnFormula>
    </tableColumn>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A356D-4078-478B-A4F9-DCCB81307014}">
  <sheetPr>
    <pageSetUpPr autoPageBreaks="0"/>
  </sheetPr>
  <dimension ref="A1"/>
  <sheetViews>
    <sheetView showGridLines="0" showRowColHeaders="0" showZeros="0" tabSelected="1" topLeftCell="A2" zoomScale="70" zoomScaleNormal="70" workbookViewId="0">
      <selection activeCell="U28" sqref="U28"/>
    </sheetView>
  </sheetViews>
  <sheetFormatPr defaultRowHeight="16.5" x14ac:dyDescent="0.3"/>
  <cols>
    <col min="1" max="16384" width="9" style="5"/>
  </cols>
  <sheetData/>
  <pageMargins left="0.7" right="0.7" top="0.75" bottom="0.75" header="0.3" footer="0.3"/>
  <pageSetup paperSize="9" scale="195"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FF956-9320-4909-AB21-74541E37CC79}">
  <dimension ref="A2:I124"/>
  <sheetViews>
    <sheetView topLeftCell="A23" zoomScale="93" zoomScaleNormal="93" workbookViewId="0">
      <selection activeCell="H28" sqref="H28"/>
    </sheetView>
  </sheetViews>
  <sheetFormatPr defaultRowHeight="16.5" x14ac:dyDescent="0.3"/>
  <cols>
    <col min="1" max="1" width="35.25" bestFit="1" customWidth="1"/>
    <col min="2" max="2" width="27.625" bestFit="1" customWidth="1"/>
    <col min="3" max="3" width="19.375" customWidth="1"/>
    <col min="4" max="4" width="13.125" bestFit="1" customWidth="1"/>
    <col min="5" max="5" width="22" bestFit="1" customWidth="1"/>
    <col min="6" max="6" width="17.75" bestFit="1" customWidth="1"/>
    <col min="7" max="7" width="28.25" bestFit="1" customWidth="1"/>
    <col min="8" max="8" width="27.625" bestFit="1" customWidth="1"/>
    <col min="9" max="27" width="14.25" bestFit="1" customWidth="1"/>
    <col min="28" max="28" width="28.25" bestFit="1" customWidth="1"/>
    <col min="29" max="29" width="27.625" bestFit="1" customWidth="1"/>
    <col min="30" max="53" width="14.25" bestFit="1" customWidth="1"/>
    <col min="54" max="55" width="9.875" bestFit="1" customWidth="1"/>
  </cols>
  <sheetData>
    <row r="2" spans="1:8" x14ac:dyDescent="0.3">
      <c r="A2" s="7" t="s">
        <v>109</v>
      </c>
      <c r="B2" s="7"/>
    </row>
    <row r="3" spans="1:8" x14ac:dyDescent="0.3">
      <c r="A3" s="1" t="s">
        <v>101</v>
      </c>
      <c r="B3" t="s">
        <v>115</v>
      </c>
      <c r="D3" s="1" t="s">
        <v>101</v>
      </c>
      <c r="E3" t="s">
        <v>115</v>
      </c>
      <c r="G3" t="s">
        <v>110</v>
      </c>
      <c r="H3" t="str" cm="1">
        <f t="array" ref="H3">_xlfn._xlws.FILTER(D4:D16, E4:E16=MAX(E4:E16))</f>
        <v>Warner Bros.</v>
      </c>
    </row>
    <row r="4" spans="1:8" x14ac:dyDescent="0.3">
      <c r="A4" s="2" t="s">
        <v>39</v>
      </c>
      <c r="B4" s="6">
        <v>93.4</v>
      </c>
      <c r="C4" s="3"/>
      <c r="D4" s="2" t="s">
        <v>54</v>
      </c>
      <c r="E4" s="6">
        <v>156.75799999999998</v>
      </c>
    </row>
    <row r="5" spans="1:8" x14ac:dyDescent="0.3">
      <c r="A5" s="2" t="s">
        <v>28</v>
      </c>
      <c r="B5" s="6">
        <v>1070.330432</v>
      </c>
      <c r="C5" s="3"/>
      <c r="D5" s="2" t="s">
        <v>77</v>
      </c>
      <c r="E5" s="6">
        <v>77.09</v>
      </c>
    </row>
    <row r="6" spans="1:8" x14ac:dyDescent="0.3">
      <c r="A6" s="2" t="s">
        <v>8</v>
      </c>
      <c r="B6" s="6">
        <v>5350.6056960000005</v>
      </c>
      <c r="C6" s="3"/>
      <c r="D6" s="2" t="s">
        <v>22</v>
      </c>
      <c r="E6" s="6">
        <v>2020.6025849999999</v>
      </c>
      <c r="G6" t="s">
        <v>111</v>
      </c>
      <c r="H6" t="str" cm="1">
        <f t="array" ref="H6">_xlfn._xlws.FILTER(A4:A9,B4:B9=MAX(B4:B9))</f>
        <v>Comedy</v>
      </c>
    </row>
    <row r="7" spans="1:8" x14ac:dyDescent="0.3">
      <c r="A7" s="2" t="s">
        <v>12</v>
      </c>
      <c r="B7" s="6">
        <v>1287.1478729999999</v>
      </c>
      <c r="C7" s="3"/>
      <c r="D7" s="2" t="s">
        <v>9</v>
      </c>
      <c r="E7" s="6">
        <v>722.56829999999991</v>
      </c>
    </row>
    <row r="8" spans="1:8" x14ac:dyDescent="0.3">
      <c r="A8" s="2" t="s">
        <v>79</v>
      </c>
      <c r="B8" s="6">
        <v>285.43099999999998</v>
      </c>
      <c r="C8" s="3"/>
      <c r="D8" s="2" t="s">
        <v>13</v>
      </c>
      <c r="E8" s="6">
        <v>1546.945606</v>
      </c>
    </row>
    <row r="9" spans="1:8" x14ac:dyDescent="0.3">
      <c r="A9" s="2" t="s">
        <v>17</v>
      </c>
      <c r="B9" s="6">
        <v>2003.131439</v>
      </c>
      <c r="C9" s="3"/>
      <c r="D9" s="2" t="s">
        <v>31</v>
      </c>
      <c r="E9" s="6">
        <v>152.592128</v>
      </c>
    </row>
    <row r="10" spans="1:8" x14ac:dyDescent="0.3">
      <c r="A10" s="2" t="s">
        <v>102</v>
      </c>
      <c r="B10" s="6">
        <v>10090.04644</v>
      </c>
      <c r="C10" s="3"/>
      <c r="D10" s="2" t="s">
        <v>65</v>
      </c>
      <c r="E10" s="6">
        <v>20.71</v>
      </c>
    </row>
    <row r="11" spans="1:8" x14ac:dyDescent="0.3">
      <c r="D11" s="2" t="s">
        <v>73</v>
      </c>
      <c r="E11" s="6">
        <v>321.212628</v>
      </c>
    </row>
    <row r="12" spans="1:8" x14ac:dyDescent="0.3">
      <c r="D12" s="2" t="s">
        <v>20</v>
      </c>
      <c r="E12" s="6">
        <v>403.12002699999999</v>
      </c>
    </row>
    <row r="13" spans="1:8" x14ac:dyDescent="0.3">
      <c r="C13" s="3"/>
      <c r="D13" s="2" t="s">
        <v>43</v>
      </c>
      <c r="E13" s="6">
        <v>1242.2629959999999</v>
      </c>
    </row>
    <row r="14" spans="1:8" x14ac:dyDescent="0.3">
      <c r="C14" s="3"/>
      <c r="D14" s="2" t="s">
        <v>57</v>
      </c>
      <c r="E14" s="6">
        <v>69.819000000000003</v>
      </c>
    </row>
    <row r="15" spans="1:8" x14ac:dyDescent="0.3">
      <c r="C15" s="3"/>
      <c r="D15" s="2" t="s">
        <v>15</v>
      </c>
      <c r="E15" s="6">
        <v>1182.5722159999998</v>
      </c>
    </row>
    <row r="16" spans="1:8" x14ac:dyDescent="0.3">
      <c r="C16" s="3"/>
      <c r="D16" s="2" t="s">
        <v>25</v>
      </c>
      <c r="E16" s="6">
        <v>2173.792954</v>
      </c>
    </row>
    <row r="17" spans="1:8" x14ac:dyDescent="0.3">
      <c r="C17" s="3"/>
      <c r="D17" s="2" t="s">
        <v>102</v>
      </c>
      <c r="E17" s="6">
        <v>10090.04644</v>
      </c>
    </row>
    <row r="18" spans="1:8" x14ac:dyDescent="0.3">
      <c r="C18" s="3"/>
    </row>
    <row r="19" spans="1:8" x14ac:dyDescent="0.3">
      <c r="C19" s="3"/>
    </row>
    <row r="20" spans="1:8" x14ac:dyDescent="0.3">
      <c r="C20" s="3"/>
    </row>
    <row r="21" spans="1:8" x14ac:dyDescent="0.3">
      <c r="C21" s="3"/>
    </row>
    <row r="22" spans="1:8" x14ac:dyDescent="0.3">
      <c r="C22" s="3"/>
    </row>
    <row r="23" spans="1:8" x14ac:dyDescent="0.3">
      <c r="C23" s="3"/>
    </row>
    <row r="26" spans="1:8" x14ac:dyDescent="0.3">
      <c r="A26" s="1" t="s">
        <v>101</v>
      </c>
      <c r="B26" t="s">
        <v>115</v>
      </c>
      <c r="D26" s="1" t="s">
        <v>101</v>
      </c>
      <c r="E26" t="s">
        <v>104</v>
      </c>
      <c r="G26" s="1" t="s">
        <v>101</v>
      </c>
      <c r="H26" t="s">
        <v>115</v>
      </c>
    </row>
    <row r="27" spans="1:8" x14ac:dyDescent="0.3">
      <c r="A27" s="2">
        <v>2007</v>
      </c>
      <c r="B27" s="6">
        <v>1314.755404</v>
      </c>
      <c r="C27" s="3"/>
      <c r="D27" s="2">
        <v>2007</v>
      </c>
      <c r="E27" s="4">
        <v>4.0585199486363637</v>
      </c>
      <c r="G27" s="2" t="s">
        <v>71</v>
      </c>
      <c r="H27" s="6">
        <v>288.35000000000002</v>
      </c>
    </row>
    <row r="28" spans="1:8" x14ac:dyDescent="0.3">
      <c r="A28" s="2">
        <v>2008</v>
      </c>
      <c r="B28" s="6">
        <v>3539.1701409999996</v>
      </c>
      <c r="C28" s="3"/>
      <c r="D28" s="2">
        <v>2008</v>
      </c>
      <c r="E28" s="4">
        <v>8.136442234105262</v>
      </c>
      <c r="G28" s="2" t="s">
        <v>83</v>
      </c>
      <c r="H28" s="6">
        <v>314.7</v>
      </c>
    </row>
    <row r="29" spans="1:8" x14ac:dyDescent="0.3">
      <c r="A29" s="2">
        <v>2009</v>
      </c>
      <c r="B29" s="6">
        <v>2007.3899999999999</v>
      </c>
      <c r="C29" s="3"/>
      <c r="D29" s="2">
        <v>2009</v>
      </c>
      <c r="E29" s="4">
        <v>5.0233118821666674</v>
      </c>
      <c r="G29" s="2" t="s">
        <v>21</v>
      </c>
      <c r="H29" s="6">
        <v>340.48765200000003</v>
      </c>
    </row>
    <row r="30" spans="1:8" x14ac:dyDescent="0.3">
      <c r="A30" s="2">
        <v>2010</v>
      </c>
      <c r="B30" s="6">
        <v>1707.9989999999998</v>
      </c>
      <c r="C30" s="3"/>
      <c r="D30" s="2">
        <v>2010</v>
      </c>
      <c r="E30" s="4">
        <v>2.2275160208823532</v>
      </c>
      <c r="G30" s="2" t="s">
        <v>75</v>
      </c>
      <c r="H30" s="6">
        <v>355.08</v>
      </c>
    </row>
    <row r="31" spans="1:8" x14ac:dyDescent="0.3">
      <c r="A31" s="2">
        <v>2011</v>
      </c>
      <c r="B31" s="6">
        <v>1520.7318950000001</v>
      </c>
      <c r="C31" s="3"/>
      <c r="D31" s="2">
        <v>2011</v>
      </c>
      <c r="E31" s="4">
        <v>3.2725548944166669</v>
      </c>
      <c r="G31" s="2" t="s">
        <v>87</v>
      </c>
      <c r="H31" s="6">
        <v>376.661</v>
      </c>
    </row>
    <row r="32" spans="1:8" x14ac:dyDescent="0.3">
      <c r="A32" s="2" t="s">
        <v>102</v>
      </c>
      <c r="B32" s="6">
        <v>10090.04644</v>
      </c>
      <c r="C32" s="3"/>
      <c r="D32" s="2" t="s">
        <v>102</v>
      </c>
      <c r="E32" s="4">
        <v>4.7416097965774631</v>
      </c>
      <c r="G32" s="2" t="s">
        <v>70</v>
      </c>
      <c r="H32" s="6">
        <v>415.25325800000002</v>
      </c>
    </row>
    <row r="33" spans="1:8" x14ac:dyDescent="0.3">
      <c r="G33" s="2" t="s">
        <v>93</v>
      </c>
      <c r="H33" s="6">
        <v>521.28343199999995</v>
      </c>
    </row>
    <row r="34" spans="1:8" x14ac:dyDescent="0.3">
      <c r="G34" s="2" t="s">
        <v>49</v>
      </c>
      <c r="H34" s="6">
        <v>609.47395500000005</v>
      </c>
    </row>
    <row r="35" spans="1:8" x14ac:dyDescent="0.3">
      <c r="A35" s="1" t="s">
        <v>101</v>
      </c>
      <c r="B35" t="s">
        <v>104</v>
      </c>
      <c r="D35" s="1" t="s">
        <v>101</v>
      </c>
      <c r="E35" t="s">
        <v>104</v>
      </c>
      <c r="G35" s="2" t="s">
        <v>88</v>
      </c>
      <c r="H35" s="6">
        <v>702.17</v>
      </c>
    </row>
    <row r="36" spans="1:8" x14ac:dyDescent="0.3">
      <c r="A36" s="2" t="s">
        <v>70</v>
      </c>
      <c r="B36" s="4">
        <v>7.2217957909999999</v>
      </c>
      <c r="D36" s="2" t="s">
        <v>39</v>
      </c>
      <c r="E36" s="4">
        <v>1.245333333</v>
      </c>
      <c r="G36" s="2" t="s">
        <v>85</v>
      </c>
      <c r="H36" s="6">
        <v>709.82</v>
      </c>
    </row>
    <row r="37" spans="1:8" x14ac:dyDescent="0.3">
      <c r="A37" s="2" t="s">
        <v>83</v>
      </c>
      <c r="B37" s="4">
        <v>7.8674999999999997</v>
      </c>
      <c r="C37" s="4"/>
      <c r="D37" s="2" t="s">
        <v>28</v>
      </c>
      <c r="E37" s="4">
        <v>3.2165611989999996</v>
      </c>
      <c r="G37" s="2" t="s">
        <v>102</v>
      </c>
      <c r="H37" s="6">
        <v>4633.279297</v>
      </c>
    </row>
    <row r="38" spans="1:8" x14ac:dyDescent="0.3">
      <c r="A38" s="2" t="s">
        <v>10</v>
      </c>
      <c r="B38" s="4">
        <v>8.0960000000000001</v>
      </c>
      <c r="C38" s="4"/>
      <c r="D38" s="2" t="s">
        <v>8</v>
      </c>
      <c r="E38" s="4">
        <v>3.9354337590769228</v>
      </c>
    </row>
    <row r="39" spans="1:8" x14ac:dyDescent="0.3">
      <c r="A39" s="2" t="s">
        <v>51</v>
      </c>
      <c r="B39" s="4">
        <v>8.7447058819999999</v>
      </c>
      <c r="C39" s="4"/>
      <c r="D39" s="2" t="s">
        <v>12</v>
      </c>
      <c r="E39" s="4">
        <v>8.4072184159230758</v>
      </c>
    </row>
    <row r="40" spans="1:8" x14ac:dyDescent="0.3">
      <c r="A40" s="2" t="s">
        <v>49</v>
      </c>
      <c r="B40" s="4">
        <v>9.2344538640000007</v>
      </c>
      <c r="C40" s="4"/>
      <c r="D40" s="2" t="s">
        <v>79</v>
      </c>
      <c r="E40" s="4">
        <v>1.7839437499999999</v>
      </c>
    </row>
    <row r="41" spans="1:8" x14ac:dyDescent="0.3">
      <c r="A41" s="2" t="s">
        <v>87</v>
      </c>
      <c r="B41" s="4">
        <v>10.18002703</v>
      </c>
      <c r="C41" s="4"/>
      <c r="D41" s="2" t="s">
        <v>17</v>
      </c>
      <c r="E41" s="4">
        <v>4.3713984904285708</v>
      </c>
    </row>
    <row r="42" spans="1:8" x14ac:dyDescent="0.3">
      <c r="A42" s="2" t="s">
        <v>92</v>
      </c>
      <c r="B42" s="4">
        <v>11.089741500000001</v>
      </c>
      <c r="C42" s="4"/>
      <c r="D42" s="2" t="s">
        <v>102</v>
      </c>
      <c r="E42" s="4">
        <v>4.7416097965774648</v>
      </c>
    </row>
    <row r="43" spans="1:8" x14ac:dyDescent="0.3">
      <c r="A43" s="2" t="s">
        <v>85</v>
      </c>
      <c r="B43" s="4">
        <v>14.196400000000001</v>
      </c>
      <c r="C43" s="4"/>
    </row>
    <row r="44" spans="1:8" x14ac:dyDescent="0.3">
      <c r="A44" s="2" t="s">
        <v>33</v>
      </c>
      <c r="B44" s="4">
        <v>22.91313646</v>
      </c>
      <c r="C44" s="4"/>
    </row>
    <row r="45" spans="1:8" x14ac:dyDescent="0.3">
      <c r="A45" s="2" t="s">
        <v>23</v>
      </c>
      <c r="B45" s="4">
        <v>66.933999999999997</v>
      </c>
      <c r="C45" s="4"/>
    </row>
    <row r="46" spans="1:8" x14ac:dyDescent="0.3">
      <c r="A46" s="2" t="s">
        <v>102</v>
      </c>
      <c r="B46" s="4">
        <v>16.647776052700003</v>
      </c>
      <c r="C46" s="4"/>
    </row>
    <row r="49" spans="1:9" x14ac:dyDescent="0.3">
      <c r="A49" s="1" t="s">
        <v>101</v>
      </c>
      <c r="B49" t="s">
        <v>115</v>
      </c>
      <c r="E49" s="1" t="s">
        <v>101</v>
      </c>
      <c r="F49" t="s">
        <v>103</v>
      </c>
      <c r="H49" t="s">
        <v>108</v>
      </c>
      <c r="I49" s="4">
        <f>AVERAGE(F50:F120)</f>
        <v>4.741609796577464</v>
      </c>
    </row>
    <row r="50" spans="1:9" x14ac:dyDescent="0.3">
      <c r="A50" s="2" t="s">
        <v>10</v>
      </c>
      <c r="B50" s="6">
        <v>60.72</v>
      </c>
      <c r="C50" s="3" t="s">
        <v>106</v>
      </c>
      <c r="D50" s="8">
        <f>SUM(B50:B123)/1000</f>
        <v>10.09004644</v>
      </c>
      <c r="E50" s="2" t="s">
        <v>23</v>
      </c>
      <c r="F50" s="4">
        <v>66.933999999999997</v>
      </c>
      <c r="H50" s="4" t="s">
        <v>113</v>
      </c>
      <c r="I50" t="str" cm="1">
        <f t="array" ref="I50">_xlfn._xlws.FILTER(E50:E123, F50:F123=MAX(F50:F123))</f>
        <v>Fireproof</v>
      </c>
    </row>
    <row r="51" spans="1:9" x14ac:dyDescent="0.3">
      <c r="A51" s="2" t="s">
        <v>7</v>
      </c>
      <c r="B51" s="6">
        <v>160.30865399999999</v>
      </c>
      <c r="C51" s="3" t="s">
        <v>105</v>
      </c>
      <c r="D51">
        <f>COUNTA(A50:A123)</f>
        <v>74</v>
      </c>
      <c r="E51" s="2" t="s">
        <v>33</v>
      </c>
      <c r="F51" s="4">
        <v>22.91313646</v>
      </c>
    </row>
    <row r="52" spans="1:9" x14ac:dyDescent="0.3">
      <c r="A52" s="2" t="s">
        <v>11</v>
      </c>
      <c r="B52" s="6">
        <v>8.9728949999999994</v>
      </c>
      <c r="C52" s="3" t="s">
        <v>112</v>
      </c>
      <c r="D52" t="str" cm="1">
        <f t="array" ref="D52">_xlfn._xlws.FILTER(A50:A123,B50:B123=MAX(B50:B123))</f>
        <v>The Twilight Saga: New Moon</v>
      </c>
      <c r="E52" s="2" t="s">
        <v>85</v>
      </c>
      <c r="F52" s="4">
        <v>14.196400000000001</v>
      </c>
    </row>
    <row r="53" spans="1:9" x14ac:dyDescent="0.3">
      <c r="A53" s="2" t="s">
        <v>14</v>
      </c>
      <c r="B53" s="6">
        <v>30.68</v>
      </c>
      <c r="C53" s="3"/>
      <c r="E53" s="2" t="s">
        <v>92</v>
      </c>
      <c r="F53" s="4">
        <v>11.089741500000001</v>
      </c>
    </row>
    <row r="54" spans="1:9" x14ac:dyDescent="0.3">
      <c r="A54" s="2" t="s">
        <v>16</v>
      </c>
      <c r="B54" s="6">
        <v>29.367142999999999</v>
      </c>
      <c r="C54" s="3"/>
      <c r="E54" s="2" t="s">
        <v>87</v>
      </c>
      <c r="F54" s="4">
        <v>10.18002703</v>
      </c>
    </row>
    <row r="55" spans="1:9" x14ac:dyDescent="0.3">
      <c r="A55" s="2" t="s">
        <v>18</v>
      </c>
      <c r="B55" s="6">
        <v>14.31</v>
      </c>
      <c r="C55" s="3"/>
      <c r="E55" s="2" t="s">
        <v>49</v>
      </c>
      <c r="F55" s="4">
        <v>9.2344538640000007</v>
      </c>
    </row>
    <row r="56" spans="1:9" x14ac:dyDescent="0.3">
      <c r="A56" s="2" t="s">
        <v>19</v>
      </c>
      <c r="B56" s="6">
        <v>114.97</v>
      </c>
      <c r="C56" s="3"/>
      <c r="E56" s="2" t="s">
        <v>51</v>
      </c>
      <c r="F56" s="4">
        <v>8.7447058819999999</v>
      </c>
    </row>
    <row r="57" spans="1:9" x14ac:dyDescent="0.3">
      <c r="A57" s="2" t="s">
        <v>21</v>
      </c>
      <c r="B57" s="6">
        <v>340.48765200000003</v>
      </c>
      <c r="C57" s="3"/>
      <c r="E57" s="2" t="s">
        <v>10</v>
      </c>
      <c r="F57" s="4">
        <v>8.0960000000000001</v>
      </c>
    </row>
    <row r="58" spans="1:9" x14ac:dyDescent="0.3">
      <c r="A58" s="2" t="s">
        <v>23</v>
      </c>
      <c r="B58" s="6">
        <v>33.466999999999999</v>
      </c>
      <c r="C58" s="3"/>
      <c r="E58" s="2" t="s">
        <v>83</v>
      </c>
      <c r="F58" s="4">
        <v>7.8674999999999997</v>
      </c>
    </row>
    <row r="59" spans="1:9" x14ac:dyDescent="0.3">
      <c r="A59" s="2" t="s">
        <v>24</v>
      </c>
      <c r="B59" s="6">
        <v>161.834</v>
      </c>
      <c r="C59" s="3"/>
      <c r="E59" s="2" t="s">
        <v>70</v>
      </c>
      <c r="F59" s="4">
        <v>7.2217957909999999</v>
      </c>
    </row>
    <row r="60" spans="1:9" x14ac:dyDescent="0.3">
      <c r="A60" s="2" t="s">
        <v>26</v>
      </c>
      <c r="B60" s="6">
        <v>102.22</v>
      </c>
      <c r="C60" s="3"/>
      <c r="E60" s="2" t="s">
        <v>32</v>
      </c>
      <c r="F60" s="4">
        <v>7.1536</v>
      </c>
    </row>
    <row r="61" spans="1:9" x14ac:dyDescent="0.3">
      <c r="A61" s="2" t="s">
        <v>27</v>
      </c>
      <c r="B61" s="6">
        <v>193.96700000000001</v>
      </c>
      <c r="C61" s="3"/>
      <c r="E61" s="2" t="s">
        <v>40</v>
      </c>
      <c r="F61" s="4">
        <v>6.6364018480000002</v>
      </c>
    </row>
    <row r="62" spans="1:9" x14ac:dyDescent="0.3">
      <c r="A62" s="2" t="s">
        <v>29</v>
      </c>
      <c r="B62" s="6">
        <v>42.05</v>
      </c>
      <c r="C62" s="3"/>
      <c r="E62" s="2" t="s">
        <v>88</v>
      </c>
      <c r="F62" s="4">
        <v>6.3833636360000003</v>
      </c>
    </row>
    <row r="63" spans="1:9" x14ac:dyDescent="0.3">
      <c r="A63" s="2" t="s">
        <v>30</v>
      </c>
      <c r="B63" s="6">
        <v>59.192127999999997</v>
      </c>
      <c r="C63" s="3"/>
      <c r="E63" s="2" t="s">
        <v>95</v>
      </c>
      <c r="F63" s="4">
        <v>6.2676470289999999</v>
      </c>
    </row>
    <row r="64" spans="1:9" x14ac:dyDescent="0.3">
      <c r="A64" s="2" t="s">
        <v>32</v>
      </c>
      <c r="B64" s="6">
        <v>178.84</v>
      </c>
      <c r="C64" s="3"/>
      <c r="E64" s="2" t="s">
        <v>86</v>
      </c>
      <c r="F64" s="4">
        <v>5.4026315790000004</v>
      </c>
    </row>
    <row r="65" spans="1:6" x14ac:dyDescent="0.3">
      <c r="A65" s="2" t="s">
        <v>33</v>
      </c>
      <c r="B65" s="6">
        <v>252.044501</v>
      </c>
      <c r="C65" s="3"/>
      <c r="E65" s="2" t="s">
        <v>27</v>
      </c>
      <c r="F65" s="4">
        <v>5.3879722220000001</v>
      </c>
    </row>
    <row r="66" spans="1:6" x14ac:dyDescent="0.3">
      <c r="A66" s="2" t="s">
        <v>34</v>
      </c>
      <c r="B66" s="6">
        <v>20.100000000000001</v>
      </c>
      <c r="C66" s="3"/>
      <c r="E66" s="2" t="s">
        <v>7</v>
      </c>
      <c r="F66" s="4">
        <v>5.3436218000000002</v>
      </c>
    </row>
    <row r="67" spans="1:6" x14ac:dyDescent="0.3">
      <c r="A67" s="2" t="s">
        <v>35</v>
      </c>
      <c r="B67" s="6">
        <v>224.6</v>
      </c>
      <c r="C67" s="3"/>
      <c r="E67" s="2" t="s">
        <v>66</v>
      </c>
      <c r="F67" s="4">
        <v>5.1031168329999996</v>
      </c>
    </row>
    <row r="68" spans="1:6" x14ac:dyDescent="0.3">
      <c r="A68" s="2" t="s">
        <v>36</v>
      </c>
      <c r="B68" s="6">
        <v>30.146999999999998</v>
      </c>
      <c r="C68" s="3"/>
      <c r="E68" s="2" t="s">
        <v>19</v>
      </c>
      <c r="F68" s="4">
        <v>4.5987999999999998</v>
      </c>
    </row>
    <row r="69" spans="1:6" x14ac:dyDescent="0.3">
      <c r="A69" s="2" t="s">
        <v>37</v>
      </c>
      <c r="B69" s="6">
        <v>21.568999999999999</v>
      </c>
      <c r="C69" s="3"/>
      <c r="E69" s="2" t="s">
        <v>18</v>
      </c>
      <c r="F69" s="4">
        <v>4.4718749999999998</v>
      </c>
    </row>
    <row r="70" spans="1:6" x14ac:dyDescent="0.3">
      <c r="A70" s="2" t="s">
        <v>38</v>
      </c>
      <c r="B70" s="6">
        <v>93.4</v>
      </c>
      <c r="C70" s="3"/>
      <c r="E70" s="2" t="s">
        <v>14</v>
      </c>
      <c r="F70" s="4">
        <v>4.3828571429999998</v>
      </c>
    </row>
    <row r="71" spans="1:6" x14ac:dyDescent="0.3">
      <c r="A71" s="2" t="s">
        <v>40</v>
      </c>
      <c r="B71" s="6">
        <v>219.001261</v>
      </c>
      <c r="C71" s="3"/>
      <c r="E71" s="2" t="s">
        <v>90</v>
      </c>
      <c r="F71" s="4">
        <v>4.1840384620000002</v>
      </c>
    </row>
    <row r="72" spans="1:6" x14ac:dyDescent="0.3">
      <c r="A72" s="2" t="s">
        <v>41</v>
      </c>
      <c r="B72" s="6">
        <v>32.590000000000003</v>
      </c>
      <c r="C72" s="3"/>
      <c r="E72" s="2" t="s">
        <v>21</v>
      </c>
      <c r="F72" s="4">
        <v>4.0057370819999996</v>
      </c>
    </row>
    <row r="73" spans="1:6" x14ac:dyDescent="0.3">
      <c r="A73" s="2" t="s">
        <v>42</v>
      </c>
      <c r="B73" s="6">
        <v>79.180000000000007</v>
      </c>
      <c r="C73" s="3"/>
      <c r="E73" s="2" t="s">
        <v>50</v>
      </c>
      <c r="F73" s="4">
        <v>3.7467818180000001</v>
      </c>
    </row>
    <row r="74" spans="1:6" x14ac:dyDescent="0.3">
      <c r="A74" s="2" t="s">
        <v>44</v>
      </c>
      <c r="B74" s="6">
        <v>69.307224000000005</v>
      </c>
      <c r="C74" s="3"/>
      <c r="E74" s="2" t="s">
        <v>89</v>
      </c>
      <c r="F74" s="4">
        <v>3.7241924000000002</v>
      </c>
    </row>
    <row r="75" spans="1:6" x14ac:dyDescent="0.3">
      <c r="A75" s="2" t="s">
        <v>45</v>
      </c>
      <c r="B75" s="6">
        <v>96.16</v>
      </c>
      <c r="C75" s="3"/>
      <c r="E75" s="2" t="s">
        <v>62</v>
      </c>
      <c r="F75" s="4">
        <v>3.6827333329999998</v>
      </c>
    </row>
    <row r="76" spans="1:6" x14ac:dyDescent="0.3">
      <c r="A76" s="2" t="s">
        <v>46</v>
      </c>
      <c r="B76" s="6">
        <v>54.53</v>
      </c>
      <c r="C76" s="3"/>
      <c r="E76" s="2" t="s">
        <v>55</v>
      </c>
      <c r="F76" s="4">
        <v>3.64741055</v>
      </c>
    </row>
    <row r="77" spans="1:6" x14ac:dyDescent="0.3">
      <c r="A77" s="2" t="s">
        <v>47</v>
      </c>
      <c r="B77" s="6">
        <v>36.08</v>
      </c>
      <c r="C77" s="3"/>
      <c r="E77" s="2" t="s">
        <v>69</v>
      </c>
      <c r="F77" s="4">
        <v>3.49125</v>
      </c>
    </row>
    <row r="78" spans="1:6" x14ac:dyDescent="0.3">
      <c r="A78" s="2" t="s">
        <v>48</v>
      </c>
      <c r="B78" s="6">
        <v>105.962734</v>
      </c>
      <c r="C78" s="3"/>
      <c r="E78" s="2" t="s">
        <v>59</v>
      </c>
      <c r="F78" s="4">
        <v>3.3527293</v>
      </c>
    </row>
    <row r="79" spans="1:6" x14ac:dyDescent="0.3">
      <c r="A79" s="2" t="s">
        <v>49</v>
      </c>
      <c r="B79" s="6">
        <v>609.47395500000005</v>
      </c>
      <c r="C79" s="3"/>
      <c r="E79" s="2" t="s">
        <v>60</v>
      </c>
      <c r="F79" s="4">
        <v>3.307180357</v>
      </c>
    </row>
    <row r="80" spans="1:6" x14ac:dyDescent="0.3">
      <c r="A80" s="2" t="s">
        <v>50</v>
      </c>
      <c r="B80" s="6">
        <v>206.07300000000001</v>
      </c>
      <c r="C80" s="3"/>
      <c r="E80" s="2" t="s">
        <v>80</v>
      </c>
      <c r="F80" s="4">
        <v>3.2078502219999998</v>
      </c>
    </row>
    <row r="81" spans="1:6" x14ac:dyDescent="0.3">
      <c r="A81" s="2" t="s">
        <v>51</v>
      </c>
      <c r="B81" s="6">
        <v>148.66</v>
      </c>
      <c r="C81" s="3"/>
      <c r="E81" s="2" t="s">
        <v>94</v>
      </c>
      <c r="F81" s="4">
        <v>3.0814210530000001</v>
      </c>
    </row>
    <row r="82" spans="1:6" x14ac:dyDescent="0.3">
      <c r="A82" s="2" t="s">
        <v>52</v>
      </c>
      <c r="B82" s="6">
        <v>15.173693999999999</v>
      </c>
      <c r="C82" s="3"/>
      <c r="E82" s="2" t="s">
        <v>93</v>
      </c>
      <c r="F82" s="4">
        <v>2.8960190670000001</v>
      </c>
    </row>
    <row r="83" spans="1:6" x14ac:dyDescent="0.3">
      <c r="A83" s="2" t="s">
        <v>53</v>
      </c>
      <c r="B83" s="6">
        <v>39.664000000000001</v>
      </c>
      <c r="C83" s="3"/>
      <c r="E83" s="2" t="s">
        <v>71</v>
      </c>
      <c r="F83" s="4">
        <v>2.8835000000000002</v>
      </c>
    </row>
    <row r="84" spans="1:6" x14ac:dyDescent="0.3">
      <c r="A84" s="2" t="s">
        <v>55</v>
      </c>
      <c r="B84" s="6">
        <v>145.896422</v>
      </c>
      <c r="C84" s="3"/>
      <c r="E84" s="2" t="s">
        <v>48</v>
      </c>
      <c r="F84" s="4">
        <v>2.6490683499999998</v>
      </c>
    </row>
    <row r="85" spans="1:6" x14ac:dyDescent="0.3">
      <c r="A85" s="2" t="s">
        <v>56</v>
      </c>
      <c r="B85" s="6">
        <v>8.2579999999999991</v>
      </c>
      <c r="C85" s="3"/>
      <c r="E85" s="2" t="s">
        <v>35</v>
      </c>
      <c r="F85" s="4">
        <v>2.642352941</v>
      </c>
    </row>
    <row r="86" spans="1:6" x14ac:dyDescent="0.3">
      <c r="A86" s="2" t="s">
        <v>58</v>
      </c>
      <c r="B86" s="6">
        <v>142.04</v>
      </c>
      <c r="C86" s="3"/>
      <c r="E86" s="2" t="s">
        <v>42</v>
      </c>
      <c r="F86" s="4">
        <v>2.6393333330000002</v>
      </c>
    </row>
    <row r="87" spans="1:6" x14ac:dyDescent="0.3">
      <c r="A87" s="2" t="s">
        <v>59</v>
      </c>
      <c r="B87" s="6">
        <v>33.527293</v>
      </c>
      <c r="C87" s="3"/>
      <c r="E87" s="2" t="s">
        <v>84</v>
      </c>
      <c r="F87" s="4">
        <v>2.598205128</v>
      </c>
    </row>
    <row r="88" spans="1:6" x14ac:dyDescent="0.3">
      <c r="A88" s="2" t="s">
        <v>60</v>
      </c>
      <c r="B88" s="6">
        <v>92.601050000000001</v>
      </c>
      <c r="C88" s="3"/>
      <c r="E88" s="2" t="s">
        <v>58</v>
      </c>
      <c r="F88" s="4">
        <v>2.5364285710000001</v>
      </c>
    </row>
    <row r="89" spans="1:6" x14ac:dyDescent="0.3">
      <c r="A89" s="2" t="s">
        <v>61</v>
      </c>
      <c r="B89" s="6">
        <v>10.7</v>
      </c>
      <c r="C89" s="3"/>
      <c r="E89" s="2" t="s">
        <v>45</v>
      </c>
      <c r="F89" s="4">
        <v>2.530526316</v>
      </c>
    </row>
    <row r="90" spans="1:6" x14ac:dyDescent="0.3">
      <c r="A90" s="2" t="s">
        <v>62</v>
      </c>
      <c r="B90" s="6">
        <v>55.241</v>
      </c>
      <c r="C90" s="3"/>
      <c r="E90" s="2" t="s">
        <v>72</v>
      </c>
      <c r="F90" s="4">
        <v>2.4405000000000001</v>
      </c>
    </row>
    <row r="91" spans="1:6" x14ac:dyDescent="0.3">
      <c r="A91" s="2" t="s">
        <v>63</v>
      </c>
      <c r="B91" s="6">
        <v>21.37</v>
      </c>
      <c r="C91" s="3"/>
      <c r="E91" s="2" t="s">
        <v>30</v>
      </c>
      <c r="F91" s="4">
        <v>2.36768512</v>
      </c>
    </row>
    <row r="92" spans="1:6" x14ac:dyDescent="0.3">
      <c r="A92" s="2" t="s">
        <v>64</v>
      </c>
      <c r="B92" s="6">
        <v>20.71</v>
      </c>
      <c r="C92" s="3"/>
      <c r="E92" s="2" t="s">
        <v>76</v>
      </c>
      <c r="F92" s="4">
        <v>2.2025714289999998</v>
      </c>
    </row>
    <row r="93" spans="1:6" x14ac:dyDescent="0.3">
      <c r="A93" s="2" t="s">
        <v>66</v>
      </c>
      <c r="B93" s="6">
        <v>153.09350499999999</v>
      </c>
      <c r="C93" s="3"/>
      <c r="E93" s="2" t="s">
        <v>61</v>
      </c>
      <c r="F93" s="4">
        <v>2.14</v>
      </c>
    </row>
    <row r="94" spans="1:6" x14ac:dyDescent="0.3">
      <c r="A94" s="2" t="s">
        <v>67</v>
      </c>
      <c r="B94" s="6">
        <v>20.741996</v>
      </c>
      <c r="C94" s="3"/>
      <c r="E94" s="2" t="s">
        <v>81</v>
      </c>
      <c r="F94" s="4">
        <v>2.1294441669999999</v>
      </c>
    </row>
    <row r="95" spans="1:6" x14ac:dyDescent="0.3">
      <c r="A95" s="2" t="s">
        <v>68</v>
      </c>
      <c r="B95" s="6">
        <v>16.61</v>
      </c>
      <c r="C95" s="3"/>
      <c r="E95" s="2" t="s">
        <v>64</v>
      </c>
      <c r="F95" s="4">
        <v>2.0710000000000002</v>
      </c>
    </row>
    <row r="96" spans="1:6" x14ac:dyDescent="0.3">
      <c r="A96" s="2" t="s">
        <v>69</v>
      </c>
      <c r="B96" s="6">
        <v>55.86</v>
      </c>
      <c r="C96" s="3"/>
      <c r="E96" s="2" t="s">
        <v>26</v>
      </c>
      <c r="F96" s="4">
        <v>2.0444</v>
      </c>
    </row>
    <row r="97" spans="1:6" x14ac:dyDescent="0.3">
      <c r="A97" s="2" t="s">
        <v>70</v>
      </c>
      <c r="B97" s="6">
        <v>415.25325800000002</v>
      </c>
      <c r="C97" s="3"/>
      <c r="E97" s="2" t="s">
        <v>24</v>
      </c>
      <c r="F97" s="4">
        <v>2.0229249999999999</v>
      </c>
    </row>
    <row r="98" spans="1:6" x14ac:dyDescent="0.3">
      <c r="A98" s="2" t="s">
        <v>71</v>
      </c>
      <c r="B98" s="6">
        <v>288.35000000000002</v>
      </c>
      <c r="C98" s="3"/>
      <c r="E98" s="2" t="s">
        <v>47</v>
      </c>
      <c r="F98" s="4">
        <v>2.0044444440000002</v>
      </c>
    </row>
    <row r="99" spans="1:6" x14ac:dyDescent="0.3">
      <c r="A99" s="2" t="s">
        <v>72</v>
      </c>
      <c r="B99" s="6">
        <v>48.81</v>
      </c>
      <c r="C99" s="3"/>
      <c r="E99" s="2" t="s">
        <v>53</v>
      </c>
      <c r="F99" s="4">
        <v>1.9832000000000001</v>
      </c>
    </row>
    <row r="100" spans="1:6" x14ac:dyDescent="0.3">
      <c r="A100" s="2" t="s">
        <v>74</v>
      </c>
      <c r="B100" s="6">
        <v>60.183</v>
      </c>
      <c r="C100" s="3"/>
      <c r="E100" s="2" t="s">
        <v>44</v>
      </c>
      <c r="F100" s="4">
        <v>1.9802063999999999</v>
      </c>
    </row>
    <row r="101" spans="1:6" x14ac:dyDescent="0.3">
      <c r="A101" s="2" t="s">
        <v>75</v>
      </c>
      <c r="B101" s="6">
        <v>355.08</v>
      </c>
      <c r="C101" s="3"/>
      <c r="E101" s="2" t="s">
        <v>46</v>
      </c>
      <c r="F101" s="4">
        <v>1.8176666669999999</v>
      </c>
    </row>
    <row r="102" spans="1:6" x14ac:dyDescent="0.3">
      <c r="A102" s="2" t="s">
        <v>76</v>
      </c>
      <c r="B102" s="6">
        <v>77.09</v>
      </c>
      <c r="C102" s="3"/>
      <c r="E102" s="2" t="s">
        <v>37</v>
      </c>
      <c r="F102" s="4">
        <v>1.797416667</v>
      </c>
    </row>
    <row r="103" spans="1:6" x14ac:dyDescent="0.3">
      <c r="A103" s="2" t="s">
        <v>78</v>
      </c>
      <c r="B103" s="6">
        <v>285.43099999999998</v>
      </c>
      <c r="C103" s="3"/>
      <c r="E103" s="2" t="s">
        <v>78</v>
      </c>
      <c r="F103" s="4">
        <v>1.7839437499999999</v>
      </c>
    </row>
    <row r="104" spans="1:6" x14ac:dyDescent="0.3">
      <c r="A104" s="2" t="s">
        <v>80</v>
      </c>
      <c r="B104" s="6">
        <v>43.305978000000003</v>
      </c>
      <c r="C104" s="3"/>
      <c r="E104" s="2" t="s">
        <v>82</v>
      </c>
      <c r="F104" s="4">
        <v>1.7513513510000001</v>
      </c>
    </row>
    <row r="105" spans="1:6" x14ac:dyDescent="0.3">
      <c r="A105" s="2" t="s">
        <v>81</v>
      </c>
      <c r="B105" s="6">
        <v>127.76665</v>
      </c>
      <c r="C105" s="3"/>
      <c r="E105" s="2" t="s">
        <v>99</v>
      </c>
      <c r="F105" s="4">
        <v>1.7475416669999999</v>
      </c>
    </row>
    <row r="106" spans="1:6" x14ac:dyDescent="0.3">
      <c r="A106" s="2" t="s">
        <v>82</v>
      </c>
      <c r="B106" s="6">
        <v>32.4</v>
      </c>
      <c r="C106" s="3"/>
      <c r="E106" s="2" t="s">
        <v>74</v>
      </c>
      <c r="F106" s="4">
        <v>1.7195142859999999</v>
      </c>
    </row>
    <row r="107" spans="1:6" x14ac:dyDescent="0.3">
      <c r="A107" s="2" t="s">
        <v>83</v>
      </c>
      <c r="B107" s="6">
        <v>314.7</v>
      </c>
      <c r="C107" s="3"/>
      <c r="E107" s="2" t="s">
        <v>41</v>
      </c>
      <c r="F107" s="4">
        <v>1.715263158</v>
      </c>
    </row>
    <row r="108" spans="1:6" x14ac:dyDescent="0.3">
      <c r="A108" s="2" t="s">
        <v>84</v>
      </c>
      <c r="B108" s="6">
        <v>101.33</v>
      </c>
      <c r="C108" s="3"/>
      <c r="E108" s="2" t="s">
        <v>68</v>
      </c>
      <c r="F108" s="4">
        <v>1.3841666669999999</v>
      </c>
    </row>
    <row r="109" spans="1:6" x14ac:dyDescent="0.3">
      <c r="A109" s="2" t="s">
        <v>85</v>
      </c>
      <c r="B109" s="6">
        <v>709.82</v>
      </c>
      <c r="C109" s="3"/>
      <c r="E109" s="2" t="s">
        <v>67</v>
      </c>
      <c r="F109" s="4">
        <v>1.3827997329999999</v>
      </c>
    </row>
    <row r="110" spans="1:6" x14ac:dyDescent="0.3">
      <c r="A110" s="2" t="s">
        <v>86</v>
      </c>
      <c r="B110" s="6">
        <v>205.3</v>
      </c>
      <c r="C110" s="3"/>
      <c r="E110" s="2" t="s">
        <v>75</v>
      </c>
      <c r="F110" s="4">
        <v>1.3656923080000001</v>
      </c>
    </row>
    <row r="111" spans="1:6" x14ac:dyDescent="0.3">
      <c r="A111" s="2" t="s">
        <v>87</v>
      </c>
      <c r="B111" s="6">
        <v>376.661</v>
      </c>
      <c r="C111" s="3"/>
      <c r="E111" s="2" t="s">
        <v>34</v>
      </c>
      <c r="F111" s="4">
        <v>1.34</v>
      </c>
    </row>
    <row r="112" spans="1:6" x14ac:dyDescent="0.3">
      <c r="A112" s="2" t="s">
        <v>88</v>
      </c>
      <c r="B112" s="6">
        <v>702.17</v>
      </c>
      <c r="C112" s="3"/>
      <c r="E112" s="2" t="s">
        <v>29</v>
      </c>
      <c r="F112" s="4">
        <v>1.3140624999999999</v>
      </c>
    </row>
    <row r="113" spans="1:6" x14ac:dyDescent="0.3">
      <c r="A113" s="2" t="s">
        <v>89</v>
      </c>
      <c r="B113" s="6">
        <v>55.862886000000003</v>
      </c>
      <c r="C113" s="3"/>
      <c r="E113" s="2" t="s">
        <v>38</v>
      </c>
      <c r="F113" s="4">
        <v>1.245333333</v>
      </c>
    </row>
    <row r="114" spans="1:6" x14ac:dyDescent="0.3">
      <c r="A114" s="2" t="s">
        <v>90</v>
      </c>
      <c r="B114" s="6">
        <v>217.57</v>
      </c>
      <c r="C114" s="3"/>
      <c r="E114" s="2" t="s">
        <v>97</v>
      </c>
      <c r="F114" s="4">
        <v>1.211818182</v>
      </c>
    </row>
    <row r="115" spans="1:6" x14ac:dyDescent="0.3">
      <c r="A115" s="2" t="s">
        <v>91</v>
      </c>
      <c r="B115" s="6">
        <v>2.5000000000000001E-2</v>
      </c>
      <c r="C115" s="3"/>
      <c r="E115" s="2" t="s">
        <v>98</v>
      </c>
      <c r="F115" s="4">
        <v>1.0900000000000001</v>
      </c>
    </row>
    <row r="116" spans="1:6" x14ac:dyDescent="0.3">
      <c r="A116" s="2" t="s">
        <v>92</v>
      </c>
      <c r="B116" s="6">
        <v>22.179483000000001</v>
      </c>
      <c r="C116" s="3"/>
      <c r="E116" s="2" t="s">
        <v>56</v>
      </c>
      <c r="F116" s="4">
        <v>0.82579999999999998</v>
      </c>
    </row>
    <row r="117" spans="1:6" x14ac:dyDescent="0.3">
      <c r="A117" s="2" t="s">
        <v>93</v>
      </c>
      <c r="B117" s="6">
        <v>521.28343199999995</v>
      </c>
      <c r="C117" s="3"/>
      <c r="E117" s="2" t="s">
        <v>16</v>
      </c>
      <c r="F117" s="4">
        <v>0.65260317800000001</v>
      </c>
    </row>
    <row r="118" spans="1:6" x14ac:dyDescent="0.3">
      <c r="A118" s="2" t="s">
        <v>94</v>
      </c>
      <c r="B118" s="6">
        <v>117.09399999999999</v>
      </c>
      <c r="C118" s="3"/>
      <c r="E118" s="2" t="s">
        <v>11</v>
      </c>
      <c r="F118" s="4">
        <v>0.44864474999999998</v>
      </c>
    </row>
    <row r="119" spans="1:6" x14ac:dyDescent="0.3">
      <c r="A119" s="2" t="s">
        <v>95</v>
      </c>
      <c r="B119" s="6">
        <v>219.36764600000001</v>
      </c>
      <c r="C119" s="3"/>
      <c r="E119" s="2" t="s">
        <v>52</v>
      </c>
      <c r="F119" s="4">
        <v>0.25289489999999998</v>
      </c>
    </row>
    <row r="120" spans="1:6" x14ac:dyDescent="0.3">
      <c r="A120" s="2" t="s">
        <v>96</v>
      </c>
      <c r="B120" s="6">
        <v>43.04</v>
      </c>
      <c r="C120" s="3"/>
      <c r="E120" s="2" t="s">
        <v>91</v>
      </c>
      <c r="F120" s="4">
        <v>5.0000000000000001E-3</v>
      </c>
    </row>
    <row r="121" spans="1:6" x14ac:dyDescent="0.3">
      <c r="A121" s="2" t="s">
        <v>97</v>
      </c>
      <c r="B121" s="6">
        <v>26.66</v>
      </c>
      <c r="C121" s="3"/>
      <c r="E121" s="2" t="s">
        <v>36</v>
      </c>
      <c r="F121" s="4"/>
    </row>
    <row r="122" spans="1:6" x14ac:dyDescent="0.3">
      <c r="A122" s="2" t="s">
        <v>98</v>
      </c>
      <c r="B122" s="6">
        <v>19.62</v>
      </c>
      <c r="C122" s="3"/>
      <c r="E122" s="2" t="s">
        <v>63</v>
      </c>
      <c r="F122" s="4"/>
    </row>
    <row r="123" spans="1:6" x14ac:dyDescent="0.3">
      <c r="A123" s="2" t="s">
        <v>99</v>
      </c>
      <c r="B123" s="6">
        <v>41.941000000000003</v>
      </c>
      <c r="C123" s="3"/>
      <c r="E123" s="2" t="s">
        <v>96</v>
      </c>
      <c r="F123" s="4"/>
    </row>
    <row r="124" spans="1:6" x14ac:dyDescent="0.3">
      <c r="A124" s="2" t="s">
        <v>102</v>
      </c>
      <c r="B124" s="6">
        <v>10090.04644</v>
      </c>
      <c r="C124" s="3"/>
      <c r="E124" s="2" t="s">
        <v>102</v>
      </c>
      <c r="F124" s="4">
        <v>336.65429555699984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14C18-4059-4936-8544-0D3CE1F0A103}">
  <sheetPr>
    <tabColor rgb="FFE5B3B3"/>
  </sheetPr>
  <dimension ref="A1:J75"/>
  <sheetViews>
    <sheetView topLeftCell="B1" workbookViewId="0">
      <selection activeCell="G2" sqref="G2"/>
    </sheetView>
  </sheetViews>
  <sheetFormatPr defaultRowHeight="16.5" x14ac:dyDescent="0.3"/>
  <cols>
    <col min="1" max="1" width="34" customWidth="1"/>
    <col min="2" max="2" width="13.375" customWidth="1"/>
    <col min="3" max="3" width="22.375" customWidth="1"/>
    <col min="4" max="4" width="20.75" customWidth="1"/>
    <col min="5" max="5" width="15.375" customWidth="1"/>
    <col min="6" max="6" width="20.25" customWidth="1"/>
    <col min="7" max="7" width="18.25" customWidth="1"/>
    <col min="9" max="9" width="17.75" customWidth="1"/>
    <col min="10" max="10" width="16.375" customWidth="1"/>
  </cols>
  <sheetData>
    <row r="1" spans="1:10" x14ac:dyDescent="0.3">
      <c r="A1" t="s">
        <v>0</v>
      </c>
      <c r="B1" t="s">
        <v>1</v>
      </c>
      <c r="C1" t="s">
        <v>2</v>
      </c>
      <c r="D1" t="s">
        <v>3</v>
      </c>
      <c r="E1" t="s">
        <v>4</v>
      </c>
      <c r="F1" t="s">
        <v>5</v>
      </c>
      <c r="G1" t="s">
        <v>114</v>
      </c>
      <c r="H1" t="s">
        <v>6</v>
      </c>
      <c r="I1" t="s">
        <v>100</v>
      </c>
      <c r="J1" t="s">
        <v>107</v>
      </c>
    </row>
    <row r="2" spans="1:10" x14ac:dyDescent="0.3">
      <c r="A2" t="s">
        <v>23</v>
      </c>
      <c r="B2" t="s">
        <v>12</v>
      </c>
      <c r="C2" t="s">
        <v>13</v>
      </c>
      <c r="D2">
        <v>51</v>
      </c>
      <c r="E2">
        <v>66.933999999999997</v>
      </c>
      <c r="F2">
        <v>40</v>
      </c>
      <c r="G2">
        <v>33.466999999999999</v>
      </c>
      <c r="H2">
        <v>2008</v>
      </c>
      <c r="I2">
        <f>(Table1[[#This Row],[Audience  score %]]+Table1[[#This Row],[Rotten Tomatoes %]])/2</f>
        <v>45.5</v>
      </c>
      <c r="J2" t="str">
        <f>IF(Table1[[#This Row],[Combined Score]]&gt;=75,"High",IF(Table1[[#This Row],[Combined Score]]&gt;40,"Medium","Low"))</f>
        <v>Medium</v>
      </c>
    </row>
    <row r="3" spans="1:10" x14ac:dyDescent="0.3">
      <c r="A3" t="s">
        <v>33</v>
      </c>
      <c r="B3" t="s">
        <v>8</v>
      </c>
      <c r="C3" t="s">
        <v>22</v>
      </c>
      <c r="D3">
        <v>76</v>
      </c>
      <c r="E3">
        <v>22.91313646</v>
      </c>
      <c r="F3">
        <v>65</v>
      </c>
      <c r="G3">
        <v>252.044501</v>
      </c>
      <c r="H3">
        <v>2008</v>
      </c>
      <c r="I3">
        <f>(Table1[[#This Row],[Audience  score %]]+Table1[[#This Row],[Rotten Tomatoes %]])/2</f>
        <v>70.5</v>
      </c>
      <c r="J3" t="str">
        <f>IF(Table1[[#This Row],[Combined Score]]&gt;=75,"High",IF(Table1[[#This Row],[Combined Score]]&gt;40,"Medium","Low"))</f>
        <v>Medium</v>
      </c>
    </row>
    <row r="4" spans="1:10" x14ac:dyDescent="0.3">
      <c r="A4" t="s">
        <v>85</v>
      </c>
      <c r="B4" t="s">
        <v>12</v>
      </c>
      <c r="C4" t="s">
        <v>43</v>
      </c>
      <c r="D4">
        <v>78</v>
      </c>
      <c r="E4">
        <v>14.196400000000001</v>
      </c>
      <c r="F4">
        <v>27</v>
      </c>
      <c r="G4">
        <v>709.82</v>
      </c>
      <c r="H4">
        <v>2009</v>
      </c>
      <c r="I4">
        <f>(Table1[[#This Row],[Audience  score %]]+Table1[[#This Row],[Rotten Tomatoes %]])/2</f>
        <v>52.5</v>
      </c>
      <c r="J4" t="str">
        <f>IF(Table1[[#This Row],[Combined Score]]&gt;=75,"High",IF(Table1[[#This Row],[Combined Score]]&gt;40,"Medium","Low"))</f>
        <v>Medium</v>
      </c>
    </row>
    <row r="5" spans="1:10" x14ac:dyDescent="0.3">
      <c r="A5" t="s">
        <v>92</v>
      </c>
      <c r="B5" t="s">
        <v>17</v>
      </c>
      <c r="C5" t="s">
        <v>13</v>
      </c>
      <c r="D5">
        <v>67</v>
      </c>
      <c r="E5">
        <v>11.089741500000001</v>
      </c>
      <c r="F5">
        <v>89</v>
      </c>
      <c r="G5">
        <v>22.179483000000001</v>
      </c>
      <c r="H5">
        <v>2007</v>
      </c>
      <c r="I5">
        <f>(Table1[[#This Row],[Audience  score %]]+Table1[[#This Row],[Rotten Tomatoes %]])/2</f>
        <v>78</v>
      </c>
      <c r="J5" t="str">
        <f>IF(Table1[[#This Row],[Combined Score]]&gt;=75,"High",IF(Table1[[#This Row],[Combined Score]]&gt;40,"Medium","Low"))</f>
        <v>High</v>
      </c>
    </row>
    <row r="6" spans="1:10" x14ac:dyDescent="0.3">
      <c r="A6" t="s">
        <v>87</v>
      </c>
      <c r="B6" t="s">
        <v>17</v>
      </c>
      <c r="C6" t="s">
        <v>43</v>
      </c>
      <c r="D6">
        <v>82</v>
      </c>
      <c r="E6">
        <v>10.18002703</v>
      </c>
      <c r="F6">
        <v>49</v>
      </c>
      <c r="G6">
        <v>376.661</v>
      </c>
      <c r="H6">
        <v>2008</v>
      </c>
      <c r="I6">
        <f>(Table1[[#This Row],[Audience  score %]]+Table1[[#This Row],[Rotten Tomatoes %]])/2</f>
        <v>65.5</v>
      </c>
      <c r="J6" t="str">
        <f>IF(Table1[[#This Row],[Combined Score]]&gt;=75,"High",IF(Table1[[#This Row],[Combined Score]]&gt;40,"Medium","Low"))</f>
        <v>Medium</v>
      </c>
    </row>
    <row r="7" spans="1:10" x14ac:dyDescent="0.3">
      <c r="A7" t="s">
        <v>49</v>
      </c>
      <c r="B7" t="s">
        <v>8</v>
      </c>
      <c r="C7" t="s">
        <v>15</v>
      </c>
      <c r="D7">
        <v>76</v>
      </c>
      <c r="E7">
        <v>9.2344538640000007</v>
      </c>
      <c r="F7">
        <v>53</v>
      </c>
      <c r="G7">
        <v>609.47395500000005</v>
      </c>
      <c r="H7">
        <v>2008</v>
      </c>
      <c r="I7">
        <f>(Table1[[#This Row],[Audience  score %]]+Table1[[#This Row],[Rotten Tomatoes %]])/2</f>
        <v>64.5</v>
      </c>
      <c r="J7" t="str">
        <f>IF(Table1[[#This Row],[Combined Score]]&gt;=75,"High",IF(Table1[[#This Row],[Combined Score]]&gt;40,"Medium","Low"))</f>
        <v>Medium</v>
      </c>
    </row>
    <row r="8" spans="1:10" x14ac:dyDescent="0.3">
      <c r="A8" t="s">
        <v>51</v>
      </c>
      <c r="B8" t="s">
        <v>17</v>
      </c>
      <c r="C8" t="s">
        <v>20</v>
      </c>
      <c r="D8">
        <v>84</v>
      </c>
      <c r="E8">
        <v>8.7447058819999999</v>
      </c>
      <c r="F8">
        <v>93</v>
      </c>
      <c r="G8">
        <v>148.66</v>
      </c>
      <c r="H8">
        <v>2011</v>
      </c>
      <c r="I8">
        <f>(Table1[[#This Row],[Audience  score %]]+Table1[[#This Row],[Rotten Tomatoes %]])/2</f>
        <v>88.5</v>
      </c>
      <c r="J8" t="str">
        <f>IF(Table1[[#This Row],[Combined Score]]&gt;=75,"High",IF(Table1[[#This Row],[Combined Score]]&gt;40,"Medium","Low"))</f>
        <v>High</v>
      </c>
    </row>
    <row r="9" spans="1:10" x14ac:dyDescent="0.3">
      <c r="A9" t="s">
        <v>10</v>
      </c>
      <c r="B9" t="s">
        <v>8</v>
      </c>
      <c r="C9" t="s">
        <v>9</v>
      </c>
      <c r="D9">
        <v>81</v>
      </c>
      <c r="E9">
        <v>8.0960000000000001</v>
      </c>
      <c r="F9">
        <v>87</v>
      </c>
      <c r="G9">
        <v>60.72</v>
      </c>
      <c r="H9">
        <v>2009</v>
      </c>
      <c r="I9">
        <f>(Table1[[#This Row],[Audience  score %]]+Table1[[#This Row],[Rotten Tomatoes %]])/2</f>
        <v>84</v>
      </c>
      <c r="J9" t="str">
        <f>IF(Table1[[#This Row],[Combined Score]]&gt;=75,"High",IF(Table1[[#This Row],[Combined Score]]&gt;40,"Medium","Low"))</f>
        <v>High</v>
      </c>
    </row>
    <row r="10" spans="1:10" x14ac:dyDescent="0.3">
      <c r="A10" t="s">
        <v>83</v>
      </c>
      <c r="B10" t="s">
        <v>8</v>
      </c>
      <c r="C10" t="s">
        <v>22</v>
      </c>
      <c r="D10">
        <v>74</v>
      </c>
      <c r="E10">
        <v>7.8674999999999997</v>
      </c>
      <c r="F10">
        <v>43</v>
      </c>
      <c r="G10">
        <v>314.7</v>
      </c>
      <c r="H10">
        <v>2009</v>
      </c>
      <c r="I10">
        <f>(Table1[[#This Row],[Audience  score %]]+Table1[[#This Row],[Rotten Tomatoes %]])/2</f>
        <v>58.5</v>
      </c>
      <c r="J10" t="str">
        <f>IF(Table1[[#This Row],[Combined Score]]&gt;=75,"High",IF(Table1[[#This Row],[Combined Score]]&gt;40,"Medium","Low"))</f>
        <v>Medium</v>
      </c>
    </row>
    <row r="11" spans="1:10" x14ac:dyDescent="0.3">
      <c r="A11" t="s">
        <v>70</v>
      </c>
      <c r="B11" t="s">
        <v>8</v>
      </c>
      <c r="C11" t="s">
        <v>25</v>
      </c>
      <c r="D11">
        <v>81</v>
      </c>
      <c r="E11">
        <v>7.2217957909999999</v>
      </c>
      <c r="F11">
        <v>49</v>
      </c>
      <c r="G11">
        <v>415.25325800000002</v>
      </c>
      <c r="H11">
        <v>2008</v>
      </c>
      <c r="I11">
        <f>(Table1[[#This Row],[Audience  score %]]+Table1[[#This Row],[Rotten Tomatoes %]])/2</f>
        <v>65</v>
      </c>
      <c r="J11" t="str">
        <f>IF(Table1[[#This Row],[Combined Score]]&gt;=75,"High",IF(Table1[[#This Row],[Combined Score]]&gt;40,"Medium","Low"))</f>
        <v>Medium</v>
      </c>
    </row>
    <row r="12" spans="1:10" x14ac:dyDescent="0.3">
      <c r="A12" t="s">
        <v>32</v>
      </c>
      <c r="B12" t="s">
        <v>8</v>
      </c>
      <c r="C12" t="s">
        <v>25</v>
      </c>
      <c r="D12">
        <v>60</v>
      </c>
      <c r="E12">
        <v>7.1536</v>
      </c>
      <c r="F12">
        <v>42</v>
      </c>
      <c r="G12">
        <v>178.84</v>
      </c>
      <c r="H12">
        <v>2009</v>
      </c>
      <c r="I12">
        <f>(Table1[[#This Row],[Audience  score %]]+Table1[[#This Row],[Rotten Tomatoes %]])/2</f>
        <v>51</v>
      </c>
      <c r="J12" t="str">
        <f>IF(Table1[[#This Row],[Combined Score]]&gt;=75,"High",IF(Table1[[#This Row],[Combined Score]]&gt;40,"Medium","Low"))</f>
        <v>Medium</v>
      </c>
    </row>
    <row r="13" spans="1:10" x14ac:dyDescent="0.3">
      <c r="A13" t="s">
        <v>40</v>
      </c>
      <c r="B13" t="s">
        <v>8</v>
      </c>
      <c r="C13" t="s">
        <v>15</v>
      </c>
      <c r="D13">
        <v>83</v>
      </c>
      <c r="E13">
        <v>6.6364018480000002</v>
      </c>
      <c r="F13">
        <v>91</v>
      </c>
      <c r="G13">
        <v>219.001261</v>
      </c>
      <c r="H13">
        <v>2007</v>
      </c>
      <c r="I13">
        <f>(Table1[[#This Row],[Audience  score %]]+Table1[[#This Row],[Rotten Tomatoes %]])/2</f>
        <v>87</v>
      </c>
      <c r="J13" t="str">
        <f>IF(Table1[[#This Row],[Combined Score]]&gt;=75,"High",IF(Table1[[#This Row],[Combined Score]]&gt;40,"Medium","Low"))</f>
        <v>High</v>
      </c>
    </row>
    <row r="14" spans="1:10" x14ac:dyDescent="0.3">
      <c r="A14" t="s">
        <v>88</v>
      </c>
      <c r="B14" t="s">
        <v>17</v>
      </c>
      <c r="C14" t="s">
        <v>13</v>
      </c>
      <c r="D14">
        <v>68</v>
      </c>
      <c r="E14">
        <v>6.3833636360000003</v>
      </c>
      <c r="F14">
        <v>26</v>
      </c>
      <c r="G14">
        <v>702.17</v>
      </c>
      <c r="H14">
        <v>2011</v>
      </c>
      <c r="I14">
        <f>(Table1[[#This Row],[Audience  score %]]+Table1[[#This Row],[Rotten Tomatoes %]])/2</f>
        <v>47</v>
      </c>
      <c r="J14" t="str">
        <f>IF(Table1[[#This Row],[Combined Score]]&gt;=75,"High",IF(Table1[[#This Row],[Combined Score]]&gt;40,"Medium","Low"))</f>
        <v>Medium</v>
      </c>
    </row>
    <row r="15" spans="1:10" x14ac:dyDescent="0.3">
      <c r="A15" t="s">
        <v>95</v>
      </c>
      <c r="B15" t="s">
        <v>8</v>
      </c>
      <c r="C15" t="s">
        <v>9</v>
      </c>
      <c r="D15">
        <v>72</v>
      </c>
      <c r="E15">
        <v>6.2676470289999999</v>
      </c>
      <c r="F15">
        <v>28</v>
      </c>
      <c r="G15">
        <v>219.36764600000001</v>
      </c>
      <c r="H15">
        <v>2008</v>
      </c>
      <c r="I15">
        <f>(Table1[[#This Row],[Audience  score %]]+Table1[[#This Row],[Rotten Tomatoes %]])/2</f>
        <v>50</v>
      </c>
      <c r="J15" t="str">
        <f>IF(Table1[[#This Row],[Combined Score]]&gt;=75,"High",IF(Table1[[#This Row],[Combined Score]]&gt;40,"Medium","Low"))</f>
        <v>Medium</v>
      </c>
    </row>
    <row r="16" spans="1:10" x14ac:dyDescent="0.3">
      <c r="A16" t="s">
        <v>86</v>
      </c>
      <c r="B16" t="s">
        <v>8</v>
      </c>
      <c r="C16" t="s">
        <v>13</v>
      </c>
      <c r="D16">
        <v>68</v>
      </c>
      <c r="E16">
        <v>5.4026315790000004</v>
      </c>
      <c r="F16">
        <v>14</v>
      </c>
      <c r="G16">
        <v>205.3</v>
      </c>
      <c r="H16">
        <v>2009</v>
      </c>
      <c r="I16">
        <f>(Table1[[#This Row],[Audience  score %]]+Table1[[#This Row],[Rotten Tomatoes %]])/2</f>
        <v>41</v>
      </c>
      <c r="J16" t="str">
        <f>IF(Table1[[#This Row],[Combined Score]]&gt;=75,"High",IF(Table1[[#This Row],[Combined Score]]&gt;40,"Medium","Low"))</f>
        <v>Medium</v>
      </c>
    </row>
    <row r="17" spans="1:10" x14ac:dyDescent="0.3">
      <c r="A17" t="s">
        <v>27</v>
      </c>
      <c r="B17" t="s">
        <v>28</v>
      </c>
      <c r="C17" t="s">
        <v>22</v>
      </c>
      <c r="D17">
        <v>52</v>
      </c>
      <c r="E17">
        <v>5.3879722220000001</v>
      </c>
      <c r="F17">
        <v>56</v>
      </c>
      <c r="G17">
        <v>193.96700000000001</v>
      </c>
      <c r="H17">
        <v>2011</v>
      </c>
      <c r="I17">
        <f>(Table1[[#This Row],[Audience  score %]]+Table1[[#This Row],[Rotten Tomatoes %]])/2</f>
        <v>54</v>
      </c>
      <c r="J17" t="str">
        <f>IF(Table1[[#This Row],[Combined Score]]&gt;=75,"High",IF(Table1[[#This Row],[Combined Score]]&gt;40,"Medium","Low"))</f>
        <v>Medium</v>
      </c>
    </row>
    <row r="18" spans="1:10" x14ac:dyDescent="0.3">
      <c r="A18" t="s">
        <v>7</v>
      </c>
      <c r="B18" t="s">
        <v>8</v>
      </c>
      <c r="C18" t="s">
        <v>9</v>
      </c>
      <c r="D18">
        <v>71</v>
      </c>
      <c r="E18">
        <v>5.3436218000000002</v>
      </c>
      <c r="F18">
        <v>40</v>
      </c>
      <c r="G18">
        <v>160.30865399999999</v>
      </c>
      <c r="H18">
        <v>2008</v>
      </c>
      <c r="I18">
        <f>(Table1[[#This Row],[Audience  score %]]+Table1[[#This Row],[Rotten Tomatoes %]])/2</f>
        <v>55.5</v>
      </c>
      <c r="J18" t="str">
        <f>IF(Table1[[#This Row],[Combined Score]]&gt;=75,"High",IF(Table1[[#This Row],[Combined Score]]&gt;40,"Medium","Low"))</f>
        <v>Medium</v>
      </c>
    </row>
    <row r="19" spans="1:10" x14ac:dyDescent="0.3">
      <c r="A19" t="s">
        <v>66</v>
      </c>
      <c r="B19" t="s">
        <v>17</v>
      </c>
      <c r="C19" t="s">
        <v>13</v>
      </c>
      <c r="D19">
        <v>82</v>
      </c>
      <c r="E19">
        <v>5.1031168329999996</v>
      </c>
      <c r="F19">
        <v>21</v>
      </c>
      <c r="G19">
        <v>153.09350499999999</v>
      </c>
      <c r="H19">
        <v>2007</v>
      </c>
      <c r="I19">
        <f>(Table1[[#This Row],[Audience  score %]]+Table1[[#This Row],[Rotten Tomatoes %]])/2</f>
        <v>51.5</v>
      </c>
      <c r="J19" t="str">
        <f>IF(Table1[[#This Row],[Combined Score]]&gt;=75,"High",IF(Table1[[#This Row],[Combined Score]]&gt;40,"Medium","Low"))</f>
        <v>Medium</v>
      </c>
    </row>
    <row r="20" spans="1:10" x14ac:dyDescent="0.3">
      <c r="A20" t="s">
        <v>19</v>
      </c>
      <c r="B20" t="s">
        <v>12</v>
      </c>
      <c r="C20" t="s">
        <v>20</v>
      </c>
      <c r="D20">
        <v>66</v>
      </c>
      <c r="E20">
        <v>4.5987999999999998</v>
      </c>
      <c r="F20">
        <v>29</v>
      </c>
      <c r="G20">
        <v>114.97</v>
      </c>
      <c r="H20">
        <v>2010</v>
      </c>
      <c r="I20">
        <f>(Table1[[#This Row],[Audience  score %]]+Table1[[#This Row],[Rotten Tomatoes %]])/2</f>
        <v>47.5</v>
      </c>
      <c r="J20" t="str">
        <f>IF(Table1[[#This Row],[Combined Score]]&gt;=75,"High",IF(Table1[[#This Row],[Combined Score]]&gt;40,"Medium","Low"))</f>
        <v>Medium</v>
      </c>
    </row>
    <row r="21" spans="1:10" x14ac:dyDescent="0.3">
      <c r="A21" t="s">
        <v>18</v>
      </c>
      <c r="B21" t="s">
        <v>8</v>
      </c>
      <c r="C21" t="s">
        <v>13</v>
      </c>
      <c r="D21">
        <v>80</v>
      </c>
      <c r="E21">
        <v>4.4718749999999998</v>
      </c>
      <c r="F21">
        <v>84</v>
      </c>
      <c r="G21">
        <v>14.31</v>
      </c>
      <c r="H21">
        <v>2011</v>
      </c>
      <c r="I21">
        <f>(Table1[[#This Row],[Audience  score %]]+Table1[[#This Row],[Rotten Tomatoes %]])/2</f>
        <v>82</v>
      </c>
      <c r="J21" t="str">
        <f>IF(Table1[[#This Row],[Combined Score]]&gt;=75,"High",IF(Table1[[#This Row],[Combined Score]]&gt;40,"Medium","Low"))</f>
        <v>High</v>
      </c>
    </row>
    <row r="22" spans="1:10" x14ac:dyDescent="0.3">
      <c r="A22" t="s">
        <v>14</v>
      </c>
      <c r="B22" t="s">
        <v>12</v>
      </c>
      <c r="C22" t="s">
        <v>15</v>
      </c>
      <c r="D22">
        <v>64</v>
      </c>
      <c r="E22">
        <v>4.3828571429999998</v>
      </c>
      <c r="F22">
        <v>89</v>
      </c>
      <c r="G22">
        <v>30.68</v>
      </c>
      <c r="H22">
        <v>2009</v>
      </c>
      <c r="I22">
        <f>(Table1[[#This Row],[Audience  score %]]+Table1[[#This Row],[Rotten Tomatoes %]])/2</f>
        <v>76.5</v>
      </c>
      <c r="J22" t="str">
        <f>IF(Table1[[#This Row],[Combined Score]]&gt;=75,"High",IF(Table1[[#This Row],[Combined Score]]&gt;40,"Medium","Low"))</f>
        <v>High</v>
      </c>
    </row>
    <row r="23" spans="1:10" x14ac:dyDescent="0.3">
      <c r="A23" t="s">
        <v>90</v>
      </c>
      <c r="B23" t="s">
        <v>8</v>
      </c>
      <c r="C23" t="s">
        <v>25</v>
      </c>
      <c r="D23">
        <v>54</v>
      </c>
      <c r="E23">
        <v>4.1840384620000002</v>
      </c>
      <c r="F23">
        <v>17</v>
      </c>
      <c r="G23">
        <v>217.57</v>
      </c>
      <c r="H23">
        <v>2010</v>
      </c>
      <c r="I23">
        <f>(Table1[[#This Row],[Audience  score %]]+Table1[[#This Row],[Rotten Tomatoes %]])/2</f>
        <v>35.5</v>
      </c>
      <c r="J23" t="str">
        <f>IF(Table1[[#This Row],[Combined Score]]&gt;=75,"High",IF(Table1[[#This Row],[Combined Score]]&gt;40,"Medium","Low"))</f>
        <v>Low</v>
      </c>
    </row>
    <row r="24" spans="1:10" x14ac:dyDescent="0.3">
      <c r="A24" t="s">
        <v>21</v>
      </c>
      <c r="B24" t="s">
        <v>8</v>
      </c>
      <c r="C24" t="s">
        <v>22</v>
      </c>
      <c r="D24">
        <v>80</v>
      </c>
      <c r="E24">
        <v>4.0057370819999996</v>
      </c>
      <c r="F24">
        <v>93</v>
      </c>
      <c r="G24">
        <v>340.48765200000003</v>
      </c>
      <c r="H24">
        <v>2007</v>
      </c>
      <c r="I24">
        <f>(Table1[[#This Row],[Audience  score %]]+Table1[[#This Row],[Rotten Tomatoes %]])/2</f>
        <v>86.5</v>
      </c>
      <c r="J24" t="str">
        <f>IF(Table1[[#This Row],[Combined Score]]&gt;=75,"High",IF(Table1[[#This Row],[Combined Score]]&gt;40,"Medium","Low"))</f>
        <v>High</v>
      </c>
    </row>
    <row r="25" spans="1:10" x14ac:dyDescent="0.3">
      <c r="A25" t="s">
        <v>50</v>
      </c>
      <c r="B25" t="s">
        <v>8</v>
      </c>
      <c r="C25" t="s">
        <v>9</v>
      </c>
      <c r="D25">
        <v>77</v>
      </c>
      <c r="E25">
        <v>3.7467818180000001</v>
      </c>
      <c r="F25">
        <v>63</v>
      </c>
      <c r="G25">
        <v>206.07300000000001</v>
      </c>
      <c r="H25">
        <v>2008</v>
      </c>
      <c r="I25">
        <f>(Table1[[#This Row],[Audience  score %]]+Table1[[#This Row],[Rotten Tomatoes %]])/2</f>
        <v>70</v>
      </c>
      <c r="J25" t="str">
        <f>IF(Table1[[#This Row],[Combined Score]]&gt;=75,"High",IF(Table1[[#This Row],[Combined Score]]&gt;40,"Medium","Low"))</f>
        <v>Medium</v>
      </c>
    </row>
    <row r="26" spans="1:10" x14ac:dyDescent="0.3">
      <c r="A26" t="s">
        <v>89</v>
      </c>
      <c r="B26" t="s">
        <v>17</v>
      </c>
      <c r="C26" t="s">
        <v>13</v>
      </c>
      <c r="D26">
        <v>47</v>
      </c>
      <c r="E26">
        <v>3.7241924000000002</v>
      </c>
      <c r="F26">
        <v>46</v>
      </c>
      <c r="G26">
        <v>55.862886000000003</v>
      </c>
      <c r="H26">
        <v>2007</v>
      </c>
      <c r="I26">
        <f>(Table1[[#This Row],[Audience  score %]]+Table1[[#This Row],[Rotten Tomatoes %]])/2</f>
        <v>46.5</v>
      </c>
      <c r="J26" t="str">
        <f>IF(Table1[[#This Row],[Combined Score]]&gt;=75,"High",IF(Table1[[#This Row],[Combined Score]]&gt;40,"Medium","Low"))</f>
        <v>Medium</v>
      </c>
    </row>
    <row r="27" spans="1:10" x14ac:dyDescent="0.3">
      <c r="A27" t="s">
        <v>62</v>
      </c>
      <c r="B27" t="s">
        <v>17</v>
      </c>
      <c r="C27" t="s">
        <v>13</v>
      </c>
      <c r="D27">
        <v>54</v>
      </c>
      <c r="E27">
        <v>3.6827333329999998</v>
      </c>
      <c r="F27">
        <v>37</v>
      </c>
      <c r="G27">
        <v>55.241</v>
      </c>
      <c r="H27">
        <v>2011</v>
      </c>
      <c r="I27">
        <f>(Table1[[#This Row],[Audience  score %]]+Table1[[#This Row],[Rotten Tomatoes %]])/2</f>
        <v>45.5</v>
      </c>
      <c r="J27" t="str">
        <f>IF(Table1[[#This Row],[Combined Score]]&gt;=75,"High",IF(Table1[[#This Row],[Combined Score]]&gt;40,"Medium","Low"))</f>
        <v>Medium</v>
      </c>
    </row>
    <row r="28" spans="1:10" x14ac:dyDescent="0.3">
      <c r="A28" t="s">
        <v>55</v>
      </c>
      <c r="B28" t="s">
        <v>17</v>
      </c>
      <c r="C28" t="s">
        <v>25</v>
      </c>
      <c r="D28">
        <v>70</v>
      </c>
      <c r="E28">
        <v>3.64741055</v>
      </c>
      <c r="F28">
        <v>63</v>
      </c>
      <c r="G28">
        <v>145.896422</v>
      </c>
      <c r="H28">
        <v>2007</v>
      </c>
      <c r="I28">
        <f>(Table1[[#This Row],[Audience  score %]]+Table1[[#This Row],[Rotten Tomatoes %]])/2</f>
        <v>66.5</v>
      </c>
      <c r="J28" t="str">
        <f>IF(Table1[[#This Row],[Combined Score]]&gt;=75,"High",IF(Table1[[#This Row],[Combined Score]]&gt;40,"Medium","Low"))</f>
        <v>Medium</v>
      </c>
    </row>
    <row r="29" spans="1:10" x14ac:dyDescent="0.3">
      <c r="A29" t="s">
        <v>69</v>
      </c>
      <c r="B29" t="s">
        <v>12</v>
      </c>
      <c r="C29" t="s">
        <v>43</v>
      </c>
      <c r="D29">
        <v>70</v>
      </c>
      <c r="E29">
        <v>3.49125</v>
      </c>
      <c r="F29">
        <v>28</v>
      </c>
      <c r="G29">
        <v>55.86</v>
      </c>
      <c r="H29">
        <v>2010</v>
      </c>
      <c r="I29">
        <f>(Table1[[#This Row],[Audience  score %]]+Table1[[#This Row],[Rotten Tomatoes %]])/2</f>
        <v>49</v>
      </c>
      <c r="J29" t="str">
        <f>IF(Table1[[#This Row],[Combined Score]]&gt;=75,"High",IF(Table1[[#This Row],[Combined Score]]&gt;40,"Medium","Low"))</f>
        <v>Medium</v>
      </c>
    </row>
    <row r="30" spans="1:10" x14ac:dyDescent="0.3">
      <c r="A30" t="s">
        <v>59</v>
      </c>
      <c r="B30" t="s">
        <v>8</v>
      </c>
      <c r="C30" t="s">
        <v>20</v>
      </c>
      <c r="D30">
        <v>67</v>
      </c>
      <c r="E30">
        <v>3.3527293</v>
      </c>
      <c r="F30">
        <v>73</v>
      </c>
      <c r="G30">
        <v>33.527293</v>
      </c>
      <c r="H30">
        <v>2008</v>
      </c>
      <c r="I30">
        <f>(Table1[[#This Row],[Audience  score %]]+Table1[[#This Row],[Rotten Tomatoes %]])/2</f>
        <v>70</v>
      </c>
      <c r="J30" t="str">
        <f>IF(Table1[[#This Row],[Combined Score]]&gt;=75,"High",IF(Table1[[#This Row],[Combined Score]]&gt;40,"Medium","Low"))</f>
        <v>Medium</v>
      </c>
    </row>
    <row r="31" spans="1:10" x14ac:dyDescent="0.3">
      <c r="A31" t="s">
        <v>60</v>
      </c>
      <c r="B31" t="s">
        <v>8</v>
      </c>
      <c r="C31" t="s">
        <v>25</v>
      </c>
      <c r="D31">
        <v>64</v>
      </c>
      <c r="E31">
        <v>3.307180357</v>
      </c>
      <c r="F31">
        <v>39</v>
      </c>
      <c r="G31">
        <v>92.601050000000001</v>
      </c>
      <c r="H31">
        <v>2007</v>
      </c>
      <c r="I31">
        <f>(Table1[[#This Row],[Audience  score %]]+Table1[[#This Row],[Rotten Tomatoes %]])/2</f>
        <v>51.5</v>
      </c>
      <c r="J31" t="str">
        <f>IF(Table1[[#This Row],[Combined Score]]&gt;=75,"High",IF(Table1[[#This Row],[Combined Score]]&gt;40,"Medium","Low"))</f>
        <v>Medium</v>
      </c>
    </row>
    <row r="32" spans="1:10" x14ac:dyDescent="0.3">
      <c r="A32" t="s">
        <v>80</v>
      </c>
      <c r="B32" t="s">
        <v>12</v>
      </c>
      <c r="C32" t="s">
        <v>73</v>
      </c>
      <c r="D32">
        <v>68</v>
      </c>
      <c r="E32">
        <v>3.2078502219999998</v>
      </c>
      <c r="F32">
        <v>60</v>
      </c>
      <c r="G32">
        <v>43.305978000000003</v>
      </c>
      <c r="H32">
        <v>2008</v>
      </c>
      <c r="I32">
        <f>(Table1[[#This Row],[Audience  score %]]+Table1[[#This Row],[Rotten Tomatoes %]])/2</f>
        <v>64</v>
      </c>
      <c r="J32" t="str">
        <f>IF(Table1[[#This Row],[Combined Score]]&gt;=75,"High",IF(Table1[[#This Row],[Combined Score]]&gt;40,"Medium","Low"))</f>
        <v>Medium</v>
      </c>
    </row>
    <row r="33" spans="1:10" x14ac:dyDescent="0.3">
      <c r="A33" t="s">
        <v>94</v>
      </c>
      <c r="B33" t="s">
        <v>12</v>
      </c>
      <c r="C33" t="s">
        <v>54</v>
      </c>
      <c r="D33">
        <v>72</v>
      </c>
      <c r="E33">
        <v>3.0814210530000001</v>
      </c>
      <c r="F33">
        <v>60</v>
      </c>
      <c r="G33">
        <v>117.09399999999999</v>
      </c>
      <c r="H33">
        <v>2011</v>
      </c>
      <c r="I33">
        <f>(Table1[[#This Row],[Audience  score %]]+Table1[[#This Row],[Rotten Tomatoes %]])/2</f>
        <v>66</v>
      </c>
      <c r="J33" t="str">
        <f>IF(Table1[[#This Row],[Combined Score]]&gt;=75,"High",IF(Table1[[#This Row],[Combined Score]]&gt;40,"Medium","Low"))</f>
        <v>Medium</v>
      </c>
    </row>
    <row r="34" spans="1:10" x14ac:dyDescent="0.3">
      <c r="A34" t="s">
        <v>93</v>
      </c>
      <c r="B34" t="s">
        <v>28</v>
      </c>
      <c r="C34" t="s">
        <v>22</v>
      </c>
      <c r="D34">
        <v>89</v>
      </c>
      <c r="E34">
        <v>2.8960190670000001</v>
      </c>
      <c r="F34">
        <v>96</v>
      </c>
      <c r="G34">
        <v>521.28343199999995</v>
      </c>
      <c r="H34">
        <v>2008</v>
      </c>
      <c r="I34">
        <f>(Table1[[#This Row],[Audience  score %]]+Table1[[#This Row],[Rotten Tomatoes %]])/2</f>
        <v>92.5</v>
      </c>
      <c r="J34" t="str">
        <f>IF(Table1[[#This Row],[Combined Score]]&gt;=75,"High",IF(Table1[[#This Row],[Combined Score]]&gt;40,"Medium","Low"))</f>
        <v>High</v>
      </c>
    </row>
    <row r="35" spans="1:10" x14ac:dyDescent="0.3">
      <c r="A35" t="s">
        <v>71</v>
      </c>
      <c r="B35" t="s">
        <v>8</v>
      </c>
      <c r="C35" t="s">
        <v>25</v>
      </c>
      <c r="D35">
        <v>49</v>
      </c>
      <c r="E35">
        <v>2.8835000000000002</v>
      </c>
      <c r="F35">
        <v>15</v>
      </c>
      <c r="G35">
        <v>288.35000000000002</v>
      </c>
      <c r="H35">
        <v>2010</v>
      </c>
      <c r="I35">
        <f>(Table1[[#This Row],[Audience  score %]]+Table1[[#This Row],[Rotten Tomatoes %]])/2</f>
        <v>32</v>
      </c>
      <c r="J35" t="str">
        <f>IF(Table1[[#This Row],[Combined Score]]&gt;=75,"High",IF(Table1[[#This Row],[Combined Score]]&gt;40,"Medium","Low"))</f>
        <v>Low</v>
      </c>
    </row>
    <row r="36" spans="1:10" x14ac:dyDescent="0.3">
      <c r="A36" t="s">
        <v>48</v>
      </c>
      <c r="B36" t="s">
        <v>8</v>
      </c>
      <c r="C36" t="s">
        <v>20</v>
      </c>
      <c r="D36">
        <v>61</v>
      </c>
      <c r="E36">
        <v>2.6490683499999998</v>
      </c>
      <c r="F36">
        <v>13</v>
      </c>
      <c r="G36">
        <v>105.962734</v>
      </c>
      <c r="H36">
        <v>2008</v>
      </c>
      <c r="I36">
        <f>(Table1[[#This Row],[Audience  score %]]+Table1[[#This Row],[Rotten Tomatoes %]])/2</f>
        <v>37</v>
      </c>
      <c r="J36" t="str">
        <f>IF(Table1[[#This Row],[Combined Score]]&gt;=75,"High",IF(Table1[[#This Row],[Combined Score]]&gt;40,"Medium","Low"))</f>
        <v>Low</v>
      </c>
    </row>
    <row r="37" spans="1:10" x14ac:dyDescent="0.3">
      <c r="A37" t="s">
        <v>35</v>
      </c>
      <c r="B37" t="s">
        <v>8</v>
      </c>
      <c r="C37" t="s">
        <v>15</v>
      </c>
      <c r="D37">
        <v>63</v>
      </c>
      <c r="E37">
        <v>2.642352941</v>
      </c>
      <c r="F37">
        <v>56</v>
      </c>
      <c r="G37">
        <v>224.6</v>
      </c>
      <c r="H37">
        <v>2009</v>
      </c>
      <c r="I37">
        <f>(Table1[[#This Row],[Audience  score %]]+Table1[[#This Row],[Rotten Tomatoes %]])/2</f>
        <v>59.5</v>
      </c>
      <c r="J37" t="str">
        <f>IF(Table1[[#This Row],[Combined Score]]&gt;=75,"High",IF(Table1[[#This Row],[Combined Score]]&gt;40,"Medium","Low"))</f>
        <v>Medium</v>
      </c>
    </row>
    <row r="38" spans="1:10" x14ac:dyDescent="0.3">
      <c r="A38" t="s">
        <v>42</v>
      </c>
      <c r="B38" t="s">
        <v>8</v>
      </c>
      <c r="C38" t="s">
        <v>43</v>
      </c>
      <c r="D38">
        <v>62</v>
      </c>
      <c r="E38">
        <v>2.6393333330000002</v>
      </c>
      <c r="F38">
        <v>40</v>
      </c>
      <c r="G38">
        <v>79.180000000000007</v>
      </c>
      <c r="H38">
        <v>2010</v>
      </c>
      <c r="I38">
        <f>(Table1[[#This Row],[Audience  score %]]+Table1[[#This Row],[Rotten Tomatoes %]])/2</f>
        <v>51</v>
      </c>
      <c r="J38" t="str">
        <f>IF(Table1[[#This Row],[Combined Score]]&gt;=75,"High",IF(Table1[[#This Row],[Combined Score]]&gt;40,"Medium","Low"))</f>
        <v>Medium</v>
      </c>
    </row>
    <row r="39" spans="1:10" x14ac:dyDescent="0.3">
      <c r="A39" t="s">
        <v>84</v>
      </c>
      <c r="B39" t="s">
        <v>12</v>
      </c>
      <c r="C39" t="s">
        <v>73</v>
      </c>
      <c r="D39">
        <v>65</v>
      </c>
      <c r="E39">
        <v>2.598205128</v>
      </c>
      <c r="F39">
        <v>38</v>
      </c>
      <c r="G39">
        <v>101.33</v>
      </c>
      <c r="H39">
        <v>2009</v>
      </c>
      <c r="I39">
        <f>(Table1[[#This Row],[Audience  score %]]+Table1[[#This Row],[Rotten Tomatoes %]])/2</f>
        <v>51.5</v>
      </c>
      <c r="J39" t="str">
        <f>IF(Table1[[#This Row],[Combined Score]]&gt;=75,"High",IF(Table1[[#This Row],[Combined Score]]&gt;40,"Medium","Low"))</f>
        <v>Medium</v>
      </c>
    </row>
    <row r="40" spans="1:10" x14ac:dyDescent="0.3">
      <c r="A40" t="s">
        <v>58</v>
      </c>
      <c r="B40" t="s">
        <v>17</v>
      </c>
      <c r="C40" t="s">
        <v>25</v>
      </c>
      <c r="D40">
        <v>48</v>
      </c>
      <c r="E40">
        <v>2.5364285710000001</v>
      </c>
      <c r="F40">
        <v>8</v>
      </c>
      <c r="G40">
        <v>142.04</v>
      </c>
      <c r="H40">
        <v>2011</v>
      </c>
      <c r="I40">
        <f>(Table1[[#This Row],[Audience  score %]]+Table1[[#This Row],[Rotten Tomatoes %]])/2</f>
        <v>28</v>
      </c>
      <c r="J40" t="str">
        <f>IF(Table1[[#This Row],[Combined Score]]&gt;=75,"High",IF(Table1[[#This Row],[Combined Score]]&gt;40,"Medium","Low"))</f>
        <v>Low</v>
      </c>
    </row>
    <row r="41" spans="1:10" x14ac:dyDescent="0.3">
      <c r="A41" t="s">
        <v>45</v>
      </c>
      <c r="B41" t="s">
        <v>8</v>
      </c>
      <c r="C41" t="s">
        <v>13</v>
      </c>
      <c r="D41">
        <v>62</v>
      </c>
      <c r="E41">
        <v>2.530526316</v>
      </c>
      <c r="F41">
        <v>28</v>
      </c>
      <c r="G41">
        <v>96.16</v>
      </c>
      <c r="H41">
        <v>2010</v>
      </c>
      <c r="I41">
        <f>(Table1[[#This Row],[Audience  score %]]+Table1[[#This Row],[Rotten Tomatoes %]])/2</f>
        <v>45</v>
      </c>
      <c r="J41" t="str">
        <f>IF(Table1[[#This Row],[Combined Score]]&gt;=75,"High",IF(Table1[[#This Row],[Combined Score]]&gt;40,"Medium","Low"))</f>
        <v>Medium</v>
      </c>
    </row>
    <row r="42" spans="1:10" x14ac:dyDescent="0.3">
      <c r="A42" t="s">
        <v>72</v>
      </c>
      <c r="B42" t="s">
        <v>8</v>
      </c>
      <c r="C42" t="s">
        <v>73</v>
      </c>
      <c r="D42">
        <v>60</v>
      </c>
      <c r="E42">
        <v>2.4405000000000001</v>
      </c>
      <c r="F42">
        <v>57</v>
      </c>
      <c r="G42">
        <v>48.81</v>
      </c>
      <c r="H42">
        <v>2010</v>
      </c>
      <c r="I42">
        <f>(Table1[[#This Row],[Audience  score %]]+Table1[[#This Row],[Rotten Tomatoes %]])/2</f>
        <v>58.5</v>
      </c>
      <c r="J42" t="str">
        <f>IF(Table1[[#This Row],[Combined Score]]&gt;=75,"High",IF(Table1[[#This Row],[Combined Score]]&gt;40,"Medium","Low"))</f>
        <v>Medium</v>
      </c>
    </row>
    <row r="43" spans="1:10" x14ac:dyDescent="0.3">
      <c r="A43" t="s">
        <v>30</v>
      </c>
      <c r="B43" t="s">
        <v>8</v>
      </c>
      <c r="C43" t="s">
        <v>31</v>
      </c>
      <c r="D43">
        <v>61</v>
      </c>
      <c r="E43">
        <v>2.36768512</v>
      </c>
      <c r="F43">
        <v>3</v>
      </c>
      <c r="G43">
        <v>59.192127999999997</v>
      </c>
      <c r="H43">
        <v>2007</v>
      </c>
      <c r="I43">
        <f>(Table1[[#This Row],[Audience  score %]]+Table1[[#This Row],[Rotten Tomatoes %]])/2</f>
        <v>32</v>
      </c>
      <c r="J43" t="str">
        <f>IF(Table1[[#This Row],[Combined Score]]&gt;=75,"High",IF(Table1[[#This Row],[Combined Score]]&gt;40,"Medium","Low"))</f>
        <v>Low</v>
      </c>
    </row>
    <row r="44" spans="1:10" x14ac:dyDescent="0.3">
      <c r="A44" t="s">
        <v>76</v>
      </c>
      <c r="B44" t="s">
        <v>8</v>
      </c>
      <c r="C44" t="s">
        <v>77</v>
      </c>
      <c r="D44">
        <v>47</v>
      </c>
      <c r="E44">
        <v>2.2025714289999998</v>
      </c>
      <c r="F44">
        <v>20</v>
      </c>
      <c r="G44">
        <v>77.09</v>
      </c>
      <c r="H44">
        <v>2010</v>
      </c>
      <c r="I44">
        <f>(Table1[[#This Row],[Audience  score %]]+Table1[[#This Row],[Rotten Tomatoes %]])/2</f>
        <v>33.5</v>
      </c>
      <c r="J44" t="str">
        <f>IF(Table1[[#This Row],[Combined Score]]&gt;=75,"High",IF(Table1[[#This Row],[Combined Score]]&gt;40,"Medium","Low"))</f>
        <v>Low</v>
      </c>
    </row>
    <row r="45" spans="1:10" x14ac:dyDescent="0.3">
      <c r="A45" t="s">
        <v>61</v>
      </c>
      <c r="B45" t="s">
        <v>12</v>
      </c>
      <c r="C45" t="s">
        <v>13</v>
      </c>
      <c r="D45">
        <v>66</v>
      </c>
      <c r="E45">
        <v>2.14</v>
      </c>
      <c r="F45">
        <v>34</v>
      </c>
      <c r="G45">
        <v>10.7</v>
      </c>
      <c r="H45">
        <v>2009</v>
      </c>
      <c r="I45">
        <f>(Table1[[#This Row],[Audience  score %]]+Table1[[#This Row],[Rotten Tomatoes %]])/2</f>
        <v>50</v>
      </c>
      <c r="J45" t="str">
        <f>IF(Table1[[#This Row],[Combined Score]]&gt;=75,"High",IF(Table1[[#This Row],[Combined Score]]&gt;40,"Medium","Low"))</f>
        <v>Medium</v>
      </c>
    </row>
    <row r="46" spans="1:10" x14ac:dyDescent="0.3">
      <c r="A46" t="s">
        <v>81</v>
      </c>
      <c r="B46" t="s">
        <v>8</v>
      </c>
      <c r="C46" t="s">
        <v>73</v>
      </c>
      <c r="D46">
        <v>41</v>
      </c>
      <c r="E46">
        <v>2.1294441669999999</v>
      </c>
      <c r="F46">
        <v>30</v>
      </c>
      <c r="G46">
        <v>127.76665</v>
      </c>
      <c r="H46">
        <v>2007</v>
      </c>
      <c r="I46">
        <f>(Table1[[#This Row],[Audience  score %]]+Table1[[#This Row],[Rotten Tomatoes %]])/2</f>
        <v>35.5</v>
      </c>
      <c r="J46" t="str">
        <f>IF(Table1[[#This Row],[Combined Score]]&gt;=75,"High",IF(Table1[[#This Row],[Combined Score]]&gt;40,"Medium","Low"))</f>
        <v>Low</v>
      </c>
    </row>
    <row r="47" spans="1:10" x14ac:dyDescent="0.3">
      <c r="A47" t="s">
        <v>64</v>
      </c>
      <c r="B47" t="s">
        <v>8</v>
      </c>
      <c r="C47" t="s">
        <v>65</v>
      </c>
      <c r="D47">
        <v>47</v>
      </c>
      <c r="E47">
        <v>2.0710000000000002</v>
      </c>
      <c r="F47">
        <v>15</v>
      </c>
      <c r="G47">
        <v>20.71</v>
      </c>
      <c r="H47">
        <v>2008</v>
      </c>
      <c r="I47">
        <f>(Table1[[#This Row],[Audience  score %]]+Table1[[#This Row],[Rotten Tomatoes %]])/2</f>
        <v>31</v>
      </c>
      <c r="J47" t="str">
        <f>IF(Table1[[#This Row],[Combined Score]]&gt;=75,"High",IF(Table1[[#This Row],[Combined Score]]&gt;40,"Medium","Low"))</f>
        <v>Low</v>
      </c>
    </row>
    <row r="48" spans="1:10" x14ac:dyDescent="0.3">
      <c r="A48" t="s">
        <v>26</v>
      </c>
      <c r="B48" t="s">
        <v>8</v>
      </c>
      <c r="C48" t="s">
        <v>25</v>
      </c>
      <c r="D48">
        <v>47</v>
      </c>
      <c r="E48">
        <v>2.0444</v>
      </c>
      <c r="F48">
        <v>27</v>
      </c>
      <c r="G48">
        <v>102.22</v>
      </c>
      <c r="H48">
        <v>2009</v>
      </c>
      <c r="I48">
        <f>(Table1[[#This Row],[Audience  score %]]+Table1[[#This Row],[Rotten Tomatoes %]])/2</f>
        <v>37</v>
      </c>
      <c r="J48" t="str">
        <f>IF(Table1[[#This Row],[Combined Score]]&gt;=75,"High",IF(Table1[[#This Row],[Combined Score]]&gt;40,"Medium","Low"))</f>
        <v>Low</v>
      </c>
    </row>
    <row r="49" spans="1:10" x14ac:dyDescent="0.3">
      <c r="A49" t="s">
        <v>24</v>
      </c>
      <c r="B49" t="s">
        <v>8</v>
      </c>
      <c r="C49" t="s">
        <v>25</v>
      </c>
      <c r="D49">
        <v>52</v>
      </c>
      <c r="E49">
        <v>2.0229249999999999</v>
      </c>
      <c r="F49">
        <v>26</v>
      </c>
      <c r="G49">
        <v>161.834</v>
      </c>
      <c r="H49">
        <v>2008</v>
      </c>
      <c r="I49">
        <f>(Table1[[#This Row],[Audience  score %]]+Table1[[#This Row],[Rotten Tomatoes %]])/2</f>
        <v>39</v>
      </c>
      <c r="J49" t="str">
        <f>IF(Table1[[#This Row],[Combined Score]]&gt;=75,"High",IF(Table1[[#This Row],[Combined Score]]&gt;40,"Medium","Low"))</f>
        <v>Low</v>
      </c>
    </row>
    <row r="50" spans="1:10" x14ac:dyDescent="0.3">
      <c r="A50" t="s">
        <v>47</v>
      </c>
      <c r="B50" t="s">
        <v>12</v>
      </c>
      <c r="C50" t="s">
        <v>15</v>
      </c>
      <c r="D50">
        <v>40</v>
      </c>
      <c r="E50">
        <v>2.0044444440000002</v>
      </c>
      <c r="F50">
        <v>18</v>
      </c>
      <c r="G50">
        <v>36.08</v>
      </c>
      <c r="H50">
        <v>2009</v>
      </c>
      <c r="I50">
        <f>(Table1[[#This Row],[Audience  score %]]+Table1[[#This Row],[Rotten Tomatoes %]])/2</f>
        <v>29</v>
      </c>
      <c r="J50" t="str">
        <f>IF(Table1[[#This Row],[Combined Score]]&gt;=75,"High",IF(Table1[[#This Row],[Combined Score]]&gt;40,"Medium","Low"))</f>
        <v>Low</v>
      </c>
    </row>
    <row r="51" spans="1:10" x14ac:dyDescent="0.3">
      <c r="A51" t="s">
        <v>53</v>
      </c>
      <c r="B51" t="s">
        <v>17</v>
      </c>
      <c r="C51" t="s">
        <v>54</v>
      </c>
      <c r="D51">
        <v>50</v>
      </c>
      <c r="E51">
        <v>1.9832000000000001</v>
      </c>
      <c r="F51">
        <v>38</v>
      </c>
      <c r="G51">
        <v>39.664000000000001</v>
      </c>
      <c r="H51">
        <v>2011</v>
      </c>
      <c r="I51">
        <f>(Table1[[#This Row],[Audience  score %]]+Table1[[#This Row],[Rotten Tomatoes %]])/2</f>
        <v>44</v>
      </c>
      <c r="J51" t="str">
        <f>IF(Table1[[#This Row],[Combined Score]]&gt;=75,"High",IF(Table1[[#This Row],[Combined Score]]&gt;40,"Medium","Low"))</f>
        <v>Medium</v>
      </c>
    </row>
    <row r="52" spans="1:10" x14ac:dyDescent="0.3">
      <c r="A52" t="s">
        <v>44</v>
      </c>
      <c r="B52" t="s">
        <v>8</v>
      </c>
      <c r="C52" t="s">
        <v>25</v>
      </c>
      <c r="D52">
        <v>55</v>
      </c>
      <c r="E52">
        <v>1.9802063999999999</v>
      </c>
      <c r="F52">
        <v>8</v>
      </c>
      <c r="G52">
        <v>69.307224000000005</v>
      </c>
      <c r="H52">
        <v>2007</v>
      </c>
      <c r="I52">
        <f>(Table1[[#This Row],[Audience  score %]]+Table1[[#This Row],[Rotten Tomatoes %]])/2</f>
        <v>31.5</v>
      </c>
      <c r="J52" t="str">
        <f>IF(Table1[[#This Row],[Combined Score]]&gt;=75,"High",IF(Table1[[#This Row],[Combined Score]]&gt;40,"Medium","Low"))</f>
        <v>Low</v>
      </c>
    </row>
    <row r="53" spans="1:10" x14ac:dyDescent="0.3">
      <c r="A53" t="s">
        <v>46</v>
      </c>
      <c r="B53" t="s">
        <v>8</v>
      </c>
      <c r="C53" t="s">
        <v>9</v>
      </c>
      <c r="D53">
        <v>55</v>
      </c>
      <c r="E53">
        <v>1.8176666669999999</v>
      </c>
      <c r="F53">
        <v>48</v>
      </c>
      <c r="G53">
        <v>54.53</v>
      </c>
      <c r="H53">
        <v>2010</v>
      </c>
      <c r="I53">
        <f>(Table1[[#This Row],[Audience  score %]]+Table1[[#This Row],[Rotten Tomatoes %]])/2</f>
        <v>51.5</v>
      </c>
      <c r="J53" t="str">
        <f>IF(Table1[[#This Row],[Combined Score]]&gt;=75,"High",IF(Table1[[#This Row],[Combined Score]]&gt;40,"Medium","Low"))</f>
        <v>Medium</v>
      </c>
    </row>
    <row r="54" spans="1:10" x14ac:dyDescent="0.3">
      <c r="A54" t="s">
        <v>37</v>
      </c>
      <c r="B54" t="s">
        <v>8</v>
      </c>
      <c r="C54" t="s">
        <v>9</v>
      </c>
      <c r="D54">
        <v>58</v>
      </c>
      <c r="E54">
        <v>1.797416667</v>
      </c>
      <c r="F54">
        <v>45</v>
      </c>
      <c r="G54">
        <v>21.568999999999999</v>
      </c>
      <c r="H54">
        <v>2010</v>
      </c>
      <c r="I54">
        <f>(Table1[[#This Row],[Audience  score %]]+Table1[[#This Row],[Rotten Tomatoes %]])/2</f>
        <v>51.5</v>
      </c>
      <c r="J54" t="str">
        <f>IF(Table1[[#This Row],[Combined Score]]&gt;=75,"High",IF(Table1[[#This Row],[Combined Score]]&gt;40,"Medium","Low"))</f>
        <v>Medium</v>
      </c>
    </row>
    <row r="55" spans="1:10" x14ac:dyDescent="0.3">
      <c r="A55" t="s">
        <v>78</v>
      </c>
      <c r="B55" t="s">
        <v>79</v>
      </c>
      <c r="C55" t="s">
        <v>25</v>
      </c>
      <c r="D55">
        <v>81</v>
      </c>
      <c r="E55">
        <v>1.7839437499999999</v>
      </c>
      <c r="F55">
        <v>73</v>
      </c>
      <c r="G55">
        <v>285.43099999999998</v>
      </c>
      <c r="H55">
        <v>2008</v>
      </c>
      <c r="I55">
        <f>(Table1[[#This Row],[Audience  score %]]+Table1[[#This Row],[Rotten Tomatoes %]])/2</f>
        <v>77</v>
      </c>
      <c r="J55" t="str">
        <f>IF(Table1[[#This Row],[Combined Score]]&gt;=75,"High",IF(Table1[[#This Row],[Combined Score]]&gt;40,"Medium","Low"))</f>
        <v>High</v>
      </c>
    </row>
    <row r="56" spans="1:10" x14ac:dyDescent="0.3">
      <c r="A56" t="s">
        <v>82</v>
      </c>
      <c r="B56" t="s">
        <v>8</v>
      </c>
      <c r="C56" t="s">
        <v>25</v>
      </c>
      <c r="D56">
        <v>47</v>
      </c>
      <c r="E56">
        <v>1.7513513510000001</v>
      </c>
      <c r="F56">
        <v>56</v>
      </c>
      <c r="G56">
        <v>32.4</v>
      </c>
      <c r="H56">
        <v>2009</v>
      </c>
      <c r="I56">
        <f>(Table1[[#This Row],[Audience  score %]]+Table1[[#This Row],[Rotten Tomatoes %]])/2</f>
        <v>51.5</v>
      </c>
      <c r="J56" t="str">
        <f>IF(Table1[[#This Row],[Combined Score]]&gt;=75,"High",IF(Table1[[#This Row],[Combined Score]]&gt;40,"Medium","Low"))</f>
        <v>Medium</v>
      </c>
    </row>
    <row r="57" spans="1:10" x14ac:dyDescent="0.3">
      <c r="A57" t="s">
        <v>99</v>
      </c>
      <c r="B57" t="s">
        <v>17</v>
      </c>
      <c r="C57" t="s">
        <v>57</v>
      </c>
      <c r="D57">
        <v>70</v>
      </c>
      <c r="E57">
        <v>1.7475416669999999</v>
      </c>
      <c r="F57">
        <v>64</v>
      </c>
      <c r="G57">
        <v>41.941000000000003</v>
      </c>
      <c r="H57">
        <v>2008</v>
      </c>
      <c r="I57">
        <f>(Table1[[#This Row],[Audience  score %]]+Table1[[#This Row],[Rotten Tomatoes %]])/2</f>
        <v>67</v>
      </c>
      <c r="J57" t="str">
        <f>IF(Table1[[#This Row],[Combined Score]]&gt;=75,"High",IF(Table1[[#This Row],[Combined Score]]&gt;40,"Medium","Low"))</f>
        <v>Medium</v>
      </c>
    </row>
    <row r="58" spans="1:10" x14ac:dyDescent="0.3">
      <c r="A58" t="s">
        <v>74</v>
      </c>
      <c r="B58" t="s">
        <v>17</v>
      </c>
      <c r="C58" t="s">
        <v>13</v>
      </c>
      <c r="E58">
        <v>1.7195142859999999</v>
      </c>
      <c r="G58">
        <v>60.183</v>
      </c>
      <c r="H58">
        <v>2011</v>
      </c>
      <c r="I58">
        <f>(Table1[[#This Row],[Audience  score %]]+Table1[[#This Row],[Rotten Tomatoes %]])/2</f>
        <v>0</v>
      </c>
      <c r="J58" t="str">
        <f>IF(Table1[[#This Row],[Combined Score]]&gt;=75,"High",IF(Table1[[#This Row],[Combined Score]]&gt;40,"Medium","Low"))</f>
        <v>Low</v>
      </c>
    </row>
    <row r="59" spans="1:10" x14ac:dyDescent="0.3">
      <c r="A59" t="s">
        <v>41</v>
      </c>
      <c r="B59" t="s">
        <v>8</v>
      </c>
      <c r="C59" t="s">
        <v>15</v>
      </c>
      <c r="D59">
        <v>49</v>
      </c>
      <c r="E59">
        <v>1.715263158</v>
      </c>
      <c r="F59">
        <v>21</v>
      </c>
      <c r="G59">
        <v>32.590000000000003</v>
      </c>
      <c r="H59">
        <v>2010</v>
      </c>
      <c r="I59">
        <f>(Table1[[#This Row],[Audience  score %]]+Table1[[#This Row],[Rotten Tomatoes %]])/2</f>
        <v>35</v>
      </c>
      <c r="J59" t="str">
        <f>IF(Table1[[#This Row],[Combined Score]]&gt;=75,"High",IF(Table1[[#This Row],[Combined Score]]&gt;40,"Medium","Low"))</f>
        <v>Low</v>
      </c>
    </row>
    <row r="60" spans="1:10" x14ac:dyDescent="0.3">
      <c r="A60" t="s">
        <v>68</v>
      </c>
      <c r="B60" t="s">
        <v>12</v>
      </c>
      <c r="C60" t="s">
        <v>13</v>
      </c>
      <c r="D60">
        <v>61</v>
      </c>
      <c r="E60">
        <v>1.3841666669999999</v>
      </c>
      <c r="F60">
        <v>85</v>
      </c>
      <c r="G60">
        <v>16.61</v>
      </c>
      <c r="H60">
        <v>2008</v>
      </c>
      <c r="I60">
        <f>(Table1[[#This Row],[Audience  score %]]+Table1[[#This Row],[Rotten Tomatoes %]])/2</f>
        <v>73</v>
      </c>
      <c r="J60" t="str">
        <f>IF(Table1[[#This Row],[Combined Score]]&gt;=75,"High",IF(Table1[[#This Row],[Combined Score]]&gt;40,"Medium","Low"))</f>
        <v>Medium</v>
      </c>
    </row>
    <row r="61" spans="1:10" x14ac:dyDescent="0.3">
      <c r="A61" t="s">
        <v>67</v>
      </c>
      <c r="B61" t="s">
        <v>8</v>
      </c>
      <c r="C61" t="s">
        <v>43</v>
      </c>
      <c r="D61">
        <v>74</v>
      </c>
      <c r="E61">
        <v>1.3827997329999999</v>
      </c>
      <c r="F61">
        <v>52</v>
      </c>
      <c r="G61">
        <v>20.741996</v>
      </c>
      <c r="H61">
        <v>2008</v>
      </c>
      <c r="I61">
        <f>(Table1[[#This Row],[Audience  score %]]+Table1[[#This Row],[Rotten Tomatoes %]])/2</f>
        <v>63</v>
      </c>
      <c r="J61" t="str">
        <f>IF(Table1[[#This Row],[Combined Score]]&gt;=75,"High",IF(Table1[[#This Row],[Combined Score]]&gt;40,"Medium","Low"))</f>
        <v>Medium</v>
      </c>
    </row>
    <row r="62" spans="1:10" x14ac:dyDescent="0.3">
      <c r="A62" t="s">
        <v>75</v>
      </c>
      <c r="B62" t="s">
        <v>28</v>
      </c>
      <c r="C62" t="s">
        <v>22</v>
      </c>
      <c r="D62">
        <v>88</v>
      </c>
      <c r="E62">
        <v>1.3656923080000001</v>
      </c>
      <c r="F62">
        <v>89</v>
      </c>
      <c r="G62">
        <v>355.08</v>
      </c>
      <c r="H62">
        <v>2010</v>
      </c>
      <c r="I62">
        <f>(Table1[[#This Row],[Audience  score %]]+Table1[[#This Row],[Rotten Tomatoes %]])/2</f>
        <v>88.5</v>
      </c>
      <c r="J62" t="str">
        <f>IF(Table1[[#This Row],[Combined Score]]&gt;=75,"High",IF(Table1[[#This Row],[Combined Score]]&gt;40,"Medium","Low"))</f>
        <v>High</v>
      </c>
    </row>
    <row r="63" spans="1:10" x14ac:dyDescent="0.3">
      <c r="A63" t="s">
        <v>34</v>
      </c>
      <c r="B63" t="s">
        <v>8</v>
      </c>
      <c r="C63" t="s">
        <v>13</v>
      </c>
      <c r="D63">
        <v>57</v>
      </c>
      <c r="E63">
        <v>1.34</v>
      </c>
      <c r="F63">
        <v>71</v>
      </c>
      <c r="G63">
        <v>20.100000000000001</v>
      </c>
      <c r="H63">
        <v>2010</v>
      </c>
      <c r="I63">
        <f>(Table1[[#This Row],[Audience  score %]]+Table1[[#This Row],[Rotten Tomatoes %]])/2</f>
        <v>64</v>
      </c>
      <c r="J63" t="str">
        <f>IF(Table1[[#This Row],[Combined Score]]&gt;=75,"High",IF(Table1[[#This Row],[Combined Score]]&gt;40,"Medium","Low"))</f>
        <v>Medium</v>
      </c>
    </row>
    <row r="64" spans="1:10" x14ac:dyDescent="0.3">
      <c r="A64" t="s">
        <v>29</v>
      </c>
      <c r="B64" t="s">
        <v>8</v>
      </c>
      <c r="C64" t="s">
        <v>25</v>
      </c>
      <c r="D64">
        <v>56</v>
      </c>
      <c r="E64">
        <v>1.3140624999999999</v>
      </c>
      <c r="F64">
        <v>53</v>
      </c>
      <c r="G64">
        <v>42.05</v>
      </c>
      <c r="H64">
        <v>2010</v>
      </c>
      <c r="I64">
        <f>(Table1[[#This Row],[Audience  score %]]+Table1[[#This Row],[Rotten Tomatoes %]])/2</f>
        <v>54.5</v>
      </c>
      <c r="J64" t="str">
        <f>IF(Table1[[#This Row],[Combined Score]]&gt;=75,"High",IF(Table1[[#This Row],[Combined Score]]&gt;40,"Medium","Low"))</f>
        <v>Medium</v>
      </c>
    </row>
    <row r="65" spans="1:10" x14ac:dyDescent="0.3">
      <c r="A65" t="s">
        <v>38</v>
      </c>
      <c r="B65" t="s">
        <v>39</v>
      </c>
      <c r="C65" t="s">
        <v>31</v>
      </c>
      <c r="D65">
        <v>45</v>
      </c>
      <c r="E65">
        <v>1.245333333</v>
      </c>
      <c r="F65">
        <v>11</v>
      </c>
      <c r="G65">
        <v>93.4</v>
      </c>
      <c r="H65">
        <v>2010</v>
      </c>
      <c r="I65">
        <f>(Table1[[#This Row],[Audience  score %]]+Table1[[#This Row],[Rotten Tomatoes %]])/2</f>
        <v>28</v>
      </c>
      <c r="J65" t="str">
        <f>IF(Table1[[#This Row],[Combined Score]]&gt;=75,"High",IF(Table1[[#This Row],[Combined Score]]&gt;40,"Medium","Low"))</f>
        <v>Low</v>
      </c>
    </row>
    <row r="66" spans="1:10" x14ac:dyDescent="0.3">
      <c r="A66" t="s">
        <v>97</v>
      </c>
      <c r="B66" t="s">
        <v>8</v>
      </c>
      <c r="C66" t="s">
        <v>13</v>
      </c>
      <c r="D66">
        <v>35</v>
      </c>
      <c r="E66">
        <v>1.211818182</v>
      </c>
      <c r="F66">
        <v>43</v>
      </c>
      <c r="G66">
        <v>26.66</v>
      </c>
      <c r="H66">
        <v>2010</v>
      </c>
      <c r="I66">
        <f>(Table1[[#This Row],[Audience  score %]]+Table1[[#This Row],[Rotten Tomatoes %]])/2</f>
        <v>39</v>
      </c>
      <c r="J66" t="str">
        <f>IF(Table1[[#This Row],[Combined Score]]&gt;=75,"High",IF(Table1[[#This Row],[Combined Score]]&gt;40,"Medium","Low"))</f>
        <v>Low</v>
      </c>
    </row>
    <row r="67" spans="1:10" x14ac:dyDescent="0.3">
      <c r="A67" t="s">
        <v>98</v>
      </c>
      <c r="B67" t="s">
        <v>8</v>
      </c>
      <c r="C67" t="s">
        <v>57</v>
      </c>
      <c r="D67">
        <v>52</v>
      </c>
      <c r="E67">
        <v>1.0900000000000001</v>
      </c>
      <c r="F67">
        <v>68</v>
      </c>
      <c r="G67">
        <v>19.62</v>
      </c>
      <c r="H67">
        <v>2010</v>
      </c>
      <c r="I67">
        <f>(Table1[[#This Row],[Audience  score %]]+Table1[[#This Row],[Rotten Tomatoes %]])/2</f>
        <v>60</v>
      </c>
      <c r="J67" t="str">
        <f>IF(Table1[[#This Row],[Combined Score]]&gt;=75,"High",IF(Table1[[#This Row],[Combined Score]]&gt;40,"Medium","Low"))</f>
        <v>Medium</v>
      </c>
    </row>
    <row r="68" spans="1:10" x14ac:dyDescent="0.3">
      <c r="A68" t="s">
        <v>56</v>
      </c>
      <c r="B68" t="s">
        <v>12</v>
      </c>
      <c r="C68" t="s">
        <v>57</v>
      </c>
      <c r="D68">
        <v>84</v>
      </c>
      <c r="E68">
        <v>0.82579999999999998</v>
      </c>
      <c r="F68">
        <v>83</v>
      </c>
      <c r="G68">
        <v>8.2579999999999991</v>
      </c>
      <c r="H68">
        <v>2011</v>
      </c>
      <c r="I68">
        <f>(Table1[[#This Row],[Audience  score %]]+Table1[[#This Row],[Rotten Tomatoes %]])/2</f>
        <v>83.5</v>
      </c>
      <c r="J68" t="str">
        <f>IF(Table1[[#This Row],[Combined Score]]&gt;=75,"High",IF(Table1[[#This Row],[Combined Score]]&gt;40,"Medium","Low"))</f>
        <v>High</v>
      </c>
    </row>
    <row r="69" spans="1:10" x14ac:dyDescent="0.3">
      <c r="A69" t="s">
        <v>16</v>
      </c>
      <c r="B69" t="s">
        <v>17</v>
      </c>
      <c r="C69" t="s">
        <v>13</v>
      </c>
      <c r="D69">
        <v>84</v>
      </c>
      <c r="E69">
        <v>0.65260317800000001</v>
      </c>
      <c r="F69">
        <v>54</v>
      </c>
      <c r="G69">
        <v>29.367142999999999</v>
      </c>
      <c r="H69">
        <v>2007</v>
      </c>
      <c r="I69">
        <f>(Table1[[#This Row],[Audience  score %]]+Table1[[#This Row],[Rotten Tomatoes %]])/2</f>
        <v>69</v>
      </c>
      <c r="J69" t="str">
        <f>IF(Table1[[#This Row],[Combined Score]]&gt;=75,"High",IF(Table1[[#This Row],[Combined Score]]&gt;40,"Medium","Low"))</f>
        <v>Medium</v>
      </c>
    </row>
    <row r="70" spans="1:10" x14ac:dyDescent="0.3">
      <c r="A70" t="s">
        <v>11</v>
      </c>
      <c r="B70" t="s">
        <v>12</v>
      </c>
      <c r="C70" t="s">
        <v>13</v>
      </c>
      <c r="D70">
        <v>89</v>
      </c>
      <c r="E70">
        <v>0.44864474999999998</v>
      </c>
      <c r="F70">
        <v>79</v>
      </c>
      <c r="G70">
        <v>8.9728949999999994</v>
      </c>
      <c r="H70">
        <v>2011</v>
      </c>
      <c r="I70">
        <f>(Table1[[#This Row],[Audience  score %]]+Table1[[#This Row],[Rotten Tomatoes %]])/2</f>
        <v>84</v>
      </c>
      <c r="J70" t="str">
        <f>IF(Table1[[#This Row],[Combined Score]]&gt;=75,"High",IF(Table1[[#This Row],[Combined Score]]&gt;40,"Medium","Low"))</f>
        <v>High</v>
      </c>
    </row>
    <row r="71" spans="1:10" x14ac:dyDescent="0.3">
      <c r="A71" t="s">
        <v>52</v>
      </c>
      <c r="B71" t="s">
        <v>8</v>
      </c>
      <c r="C71" t="s">
        <v>13</v>
      </c>
      <c r="D71">
        <v>70</v>
      </c>
      <c r="E71">
        <v>0.25289489999999998</v>
      </c>
      <c r="F71">
        <v>78</v>
      </c>
      <c r="G71">
        <v>15.173693999999999</v>
      </c>
      <c r="H71">
        <v>2008</v>
      </c>
      <c r="I71">
        <f>(Table1[[#This Row],[Audience  score %]]+Table1[[#This Row],[Rotten Tomatoes %]])/2</f>
        <v>74</v>
      </c>
      <c r="J71" t="str">
        <f>IF(Table1[[#This Row],[Combined Score]]&gt;=75,"High",IF(Table1[[#This Row],[Combined Score]]&gt;40,"Medium","Low"))</f>
        <v>Medium</v>
      </c>
    </row>
    <row r="72" spans="1:10" x14ac:dyDescent="0.3">
      <c r="A72" t="s">
        <v>91</v>
      </c>
      <c r="B72" t="s">
        <v>17</v>
      </c>
      <c r="C72" t="s">
        <v>13</v>
      </c>
      <c r="D72">
        <v>53</v>
      </c>
      <c r="E72">
        <v>5.0000000000000001E-3</v>
      </c>
      <c r="F72">
        <v>6</v>
      </c>
      <c r="G72">
        <v>2.5000000000000001E-2</v>
      </c>
      <c r="H72">
        <v>2011</v>
      </c>
      <c r="I72">
        <f>(Table1[[#This Row],[Audience  score %]]+Table1[[#This Row],[Rotten Tomatoes %]])/2</f>
        <v>29.5</v>
      </c>
      <c r="J72" t="str">
        <f>IF(Table1[[#This Row],[Combined Score]]&gt;=75,"High",IF(Table1[[#This Row],[Combined Score]]&gt;40,"Medium","Low"))</f>
        <v>Low</v>
      </c>
    </row>
    <row r="73" spans="1:10" x14ac:dyDescent="0.3">
      <c r="A73" t="s">
        <v>36</v>
      </c>
      <c r="B73" t="s">
        <v>17</v>
      </c>
      <c r="C73" t="s">
        <v>15</v>
      </c>
      <c r="D73">
        <v>77</v>
      </c>
      <c r="F73">
        <v>85</v>
      </c>
      <c r="G73">
        <v>30.146999999999998</v>
      </c>
      <c r="H73">
        <v>2011</v>
      </c>
      <c r="I73">
        <f>(Table1[[#This Row],[Audience  score %]]+Table1[[#This Row],[Rotten Tomatoes %]])/2</f>
        <v>81</v>
      </c>
      <c r="J73" t="str">
        <f>IF(Table1[[#This Row],[Combined Score]]&gt;=75,"High",IF(Table1[[#This Row],[Combined Score]]&gt;40,"Medium","Low"))</f>
        <v>High</v>
      </c>
    </row>
    <row r="74" spans="1:10" x14ac:dyDescent="0.3">
      <c r="A74" t="s">
        <v>63</v>
      </c>
      <c r="B74" t="s">
        <v>8</v>
      </c>
      <c r="C74" t="s">
        <v>13</v>
      </c>
      <c r="D74">
        <v>49</v>
      </c>
      <c r="F74">
        <v>14</v>
      </c>
      <c r="G74">
        <v>21.37</v>
      </c>
      <c r="H74">
        <v>2010</v>
      </c>
      <c r="I74">
        <f>(Table1[[#This Row],[Audience  score %]]+Table1[[#This Row],[Rotten Tomatoes %]])/2</f>
        <v>31.5</v>
      </c>
      <c r="J74" t="str">
        <f>IF(Table1[[#This Row],[Combined Score]]&gt;=75,"High",IF(Table1[[#This Row],[Combined Score]]&gt;40,"Medium","Low"))</f>
        <v>Low</v>
      </c>
    </row>
    <row r="75" spans="1:10" x14ac:dyDescent="0.3">
      <c r="A75" t="s">
        <v>96</v>
      </c>
      <c r="B75" t="s">
        <v>8</v>
      </c>
      <c r="C75" t="s">
        <v>22</v>
      </c>
      <c r="D75">
        <v>44</v>
      </c>
      <c r="F75">
        <v>15</v>
      </c>
      <c r="G75">
        <v>43.04</v>
      </c>
      <c r="H75">
        <v>2010</v>
      </c>
      <c r="I75">
        <f>(Table1[[#This Row],[Audience  score %]]+Table1[[#This Row],[Rotten Tomatoes %]])/2</f>
        <v>29.5</v>
      </c>
      <c r="J75" t="str">
        <f>IF(Table1[[#This Row],[Combined Score]]&gt;=75,"High",IF(Table1[[#This Row],[Combined Score]]&gt;40,"Medium","Low"))</f>
        <v>Low</v>
      </c>
    </row>
  </sheetData>
  <conditionalFormatting sqref="B58">
    <cfRule type="duplicateValues" dxfId="18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Sheet</vt:lpstr>
      <vt:lpstr>HollywoodsMostProfitableStories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A.N.M.H.W. NAWARATHNA</cp:lastModifiedBy>
  <dcterms:created xsi:type="dcterms:W3CDTF">2026-04-25T11:55:45Z</dcterms:created>
  <dcterms:modified xsi:type="dcterms:W3CDTF">2026-04-26T07:37:03Z</dcterms:modified>
</cp:coreProperties>
</file>